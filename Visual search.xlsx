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3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<sst xmlns="http://schemas.openxmlformats.org/spreadsheetml/2006/main" count="1674" uniqueCount="842">
  <si>
    <t>Participant</t>
  </si>
  <si>
    <t>thisN</t>
  </si>
  <si>
    <t>mouse.time</t>
  </si>
  <si>
    <t>mouse.clicked_name</t>
  </si>
  <si>
    <t>num_distr</t>
  </si>
  <si>
    <t>RT</t>
  </si>
  <si>
    <t>[1.7232354000007035]</t>
  </si>
  <si>
    <t>['target']</t>
  </si>
  <si>
    <t>[3.2228456000011647]</t>
  </si>
  <si>
    <t>[3.0563783000106923]</t>
  </si>
  <si>
    <t>[3.4685446999937994]</t>
  </si>
  <si>
    <t>[5.493073000005097]</t>
  </si>
  <si>
    <t>[2.057388400004129]</t>
  </si>
  <si>
    <t>[2.4832207999861566]</t>
  </si>
  <si>
    <t>[2.1406101000029594]</t>
  </si>
  <si>
    <t>[1.5168902000004891]</t>
  </si>
  <si>
    <t>[1.9986370999977225]</t>
  </si>
  <si>
    <t>[1.0966674999945099]</t>
  </si>
  <si>
    <t>[1.9626769999886164]</t>
  </si>
  <si>
    <t>[3.1632765000103973]</t>
  </si>
  <si>
    <t>[1.9167051999975229]</t>
  </si>
  <si>
    <t>[1.7021801000082633]</t>
  </si>
  <si>
    <t>[1.8661717000068165]</t>
  </si>
  <si>
    <t>[3.1184791999985464]</t>
  </si>
  <si>
    <t>[1.963145000001532]</t>
  </si>
  <si>
    <t>[1.8489159000018844]</t>
  </si>
  <si>
    <t>[1.6972769999993034]</t>
  </si>
  <si>
    <t>[2.3330254000029527]</t>
  </si>
  <si>
    <t>[1.7869303000043146]</t>
  </si>
  <si>
    <t>[1.4827382999937981]</t>
  </si>
  <si>
    <t>[1.548514999987674]</t>
  </si>
  <si>
    <t>[1.4210871000104817]</t>
  </si>
  <si>
    <t>[1.662519000004977]</t>
  </si>
  <si>
    <t>[1.0498642000020482]</t>
  </si>
  <si>
    <t>[1.6161322999978438]</t>
  </si>
  <si>
    <t>[1.53142869999283]</t>
  </si>
  <si>
    <t>[1.5670400000090012]</t>
  </si>
  <si>
    <t>[2.0216938000085065]</t>
  </si>
  <si>
    <t>[2.224337400009972]</t>
  </si>
  <si>
    <t>[1.5730699999985518]</t>
  </si>
  <si>
    <t>[2.1199886000104016]</t>
  </si>
  <si>
    <t>[1.3904930999997305]</t>
  </si>
  <si>
    <t>[1.1357516000134638]</t>
  </si>
  <si>
    <t>[1.4418236999918008]</t>
  </si>
  <si>
    <t>[1.2066179000103148]</t>
  </si>
  <si>
    <t>[1.7317513000016334]</t>
  </si>
  <si>
    <t>[1.3950049999984913]</t>
  </si>
  <si>
    <t>[1.7511894999915967]</t>
  </si>
  <si>
    <t>[1.649129900004482]</t>
  </si>
  <si>
    <t>[1.3820074000104796]</t>
  </si>
  <si>
    <t>[1.1967659999936586]</t>
  </si>
  <si>
    <t>[1.4466644000058295]</t>
  </si>
  <si>
    <t>[1.2748768999881577]</t>
  </si>
  <si>
    <t>[1.9337612999952398]</t>
  </si>
  <si>
    <t>[3.8558962999959476]</t>
  </si>
  <si>
    <t>[1.7016375999955926]</t>
  </si>
  <si>
    <t>[1.1331755999999586]</t>
  </si>
  <si>
    <t>[1.0040981999918586]</t>
  </si>
  <si>
    <t>[3.058998900000006]</t>
  </si>
  <si>
    <t>[2.2482032000116305]</t>
  </si>
  <si>
    <t>[1.6435854000010295]</t>
  </si>
  <si>
    <t>[2.3183559000026435]</t>
  </si>
  <si>
    <t>[2.0721097999921767]</t>
  </si>
  <si>
    <t>[2.2176302000007126]</t>
  </si>
  <si>
    <t>[2.6736754999874393]</t>
  </si>
  <si>
    <t>[2.2813087000104133]</t>
  </si>
  <si>
    <t>[1.6020692000020063]</t>
  </si>
  <si>
    <t>[1.7858137000002898]</t>
  </si>
  <si>
    <t>[1.405485499999486]</t>
  </si>
  <si>
    <t>[2.11128889999236]</t>
  </si>
  <si>
    <t>[2.435047399994801]</t>
  </si>
  <si>
    <t>[2.203507400001399]</t>
  </si>
  <si>
    <t>[1.0567906000069343]</t>
  </si>
  <si>
    <t>[2.5309589999960735]</t>
  </si>
  <si>
    <t>[1.300138099992182]</t>
  </si>
  <si>
    <t>[1.6481904999964172]</t>
  </si>
  <si>
    <t>[1.5799173999985214]</t>
  </si>
  <si>
    <t>[2.4873019000078784]</t>
  </si>
  <si>
    <t>[1.4800824999983888]</t>
  </si>
  <si>
    <t>[1.849875499989139]</t>
  </si>
  <si>
    <t>[1.2493756000039866]</t>
  </si>
  <si>
    <t>[1.8357664000068326]</t>
  </si>
  <si>
    <t>[3.5716774000029545]</t>
  </si>
  <si>
    <t>[3.3551128999970388]</t>
  </si>
  <si>
    <t>[2.206535499994061]</t>
  </si>
  <si>
    <t>[2.5579483000037726]</t>
  </si>
  <si>
    <t>[1.685836200005724]</t>
  </si>
  <si>
    <t>[3.2988096000044607]</t>
  </si>
  <si>
    <t>[1.1074496999935945]</t>
  </si>
  <si>
    <t>[1.4197210999991512]</t>
  </si>
  <si>
    <t>[2.8506499999930384]</t>
  </si>
  <si>
    <t>[1.8828910999873187]</t>
  </si>
  <si>
    <t>[1.316898900011438]</t>
  </si>
  <si>
    <t>[1.8354506000032416]</t>
  </si>
  <si>
    <t>[2.8194160999992164]</t>
  </si>
  <si>
    <t>[3.01538260000234]</t>
  </si>
  <si>
    <t>[1.3435960000060732]</t>
  </si>
  <si>
    <t>[1.085965700011002]</t>
  </si>
  <si>
    <t>[1.9600966999860248]</t>
  </si>
  <si>
    <t>[1.4503077999979723]</t>
  </si>
  <si>
    <t>[1.616058300001896]</t>
  </si>
  <si>
    <t>[1.39962270000251]</t>
  </si>
  <si>
    <t>[1.929372799990233]</t>
  </si>
  <si>
    <t>[1.774632600005134]</t>
  </si>
  <si>
    <t>[2.273578499996802]</t>
  </si>
  <si>
    <t>[1.565574899999774]</t>
  </si>
  <si>
    <t>[1.750482400006149]</t>
  </si>
  <si>
    <t>[1.8153309999906924]</t>
  </si>
  <si>
    <t>[1.8508666999987327]</t>
  </si>
  <si>
    <t>[2.504935100005241]</t>
  </si>
  <si>
    <t>[1.5515241999964928]</t>
  </si>
  <si>
    <t>[1.3736920999945141]</t>
  </si>
  <si>
    <t>[1.570326400003978]</t>
  </si>
  <si>
    <t>[2.204178600004525]</t>
  </si>
  <si>
    <t>[2.537083100003656]</t>
  </si>
  <si>
    <t>[2.3349821000010706]</t>
  </si>
  <si>
    <t>[2.199251500001992]</t>
  </si>
  <si>
    <t>[1.7325821999984328]</t>
  </si>
  <si>
    <t>[1.7816787000047043]</t>
  </si>
  <si>
    <t>[1.6696838999923784]</t>
  </si>
  <si>
    <t>[2.5375949000008404]</t>
  </si>
  <si>
    <t>[2.635115199998836]</t>
  </si>
  <si>
    <t>[1.620995999997831]</t>
  </si>
  <si>
    <t>[2.1941727999947034]</t>
  </si>
  <si>
    <t>[1.8899104000010993]</t>
  </si>
  <si>
    <t>[1.3472844999923836]</t>
  </si>
  <si>
    <t>[2.52885210000386]</t>
  </si>
  <si>
    <t>[1.6003383000061149]</t>
  </si>
  <si>
    <t>[2.302172999989125]</t>
  </si>
  <si>
    <t>[1.303032499999972]</t>
  </si>
  <si>
    <t>[1.4655143999989377]</t>
  </si>
  <si>
    <t>[1.6913800000038464]</t>
  </si>
  <si>
    <t>[1.8042404000007082]</t>
  </si>
  <si>
    <t>[2.1501656000036746]</t>
  </si>
  <si>
    <t>[2.0689306999993278]</t>
  </si>
  <si>
    <t>[3.2691814999998314]</t>
  </si>
  <si>
    <t>[2.25018450000789]</t>
  </si>
  <si>
    <t>[1.7636316000134684]</t>
  </si>
  <si>
    <t>[2.350645700003952]</t>
  </si>
  <si>
    <t>[2.7506607999966945]</t>
  </si>
  <si>
    <t>[1.7895152999990387]</t>
  </si>
  <si>
    <t>[3.461155700002564]</t>
  </si>
  <si>
    <t>[3.986625699995784]</t>
  </si>
  <si>
    <t>[1.5941626000130782]</t>
  </si>
  <si>
    <t>[1.7222767999919597]</t>
  </si>
  <si>
    <t>[2.5447758000082104]</t>
  </si>
  <si>
    <t>[1.808537700009765]</t>
  </si>
  <si>
    <t>[2.533510799999931]</t>
  </si>
  <si>
    <t>[2.2824228999961633]</t>
  </si>
  <si>
    <t>[1.3157667000050424]</t>
  </si>
  <si>
    <t>[2.2299881000071764]</t>
  </si>
  <si>
    <t>[1.3316352999972878]</t>
  </si>
  <si>
    <t>[1.2520776000019396]</t>
  </si>
  <si>
    <t>[1.6838572999986354]</t>
  </si>
  <si>
    <t>[1.317937100000563]</t>
  </si>
  <si>
    <t>[1.5497742000006838]</t>
  </si>
  <si>
    <t>[1.2807948000117904]</t>
  </si>
  <si>
    <t>[2.2160432000091532]</t>
  </si>
  <si>
    <t>[2.0137840999959735]</t>
  </si>
  <si>
    <t>[1.8344217999983812]</t>
  </si>
  <si>
    <t>[1.6411003999965033]</t>
  </si>
  <si>
    <t>[2.0212754999956815]</t>
  </si>
  <si>
    <t>[2.7321017000067513]</t>
  </si>
  <si>
    <t>[1.4655843000073219]</t>
  </si>
  <si>
    <t>[2.869825600006152]</t>
  </si>
  <si>
    <t>[3.7386650999978883]</t>
  </si>
  <si>
    <t>[2.2609653000108665]</t>
  </si>
  <si>
    <t>[1.4707775999995647]</t>
  </si>
  <si>
    <t>[1.5166535999887856]</t>
  </si>
  <si>
    <t>[2.357938200002536]</t>
  </si>
  <si>
    <t>[1.7144826000003377]</t>
  </si>
  <si>
    <t>[1.157374600006733]</t>
  </si>
  <si>
    <t>[1.831056000009994]</t>
  </si>
  <si>
    <t>[1.190963599990937]</t>
  </si>
  <si>
    <t>[1.4477184999996098]</t>
  </si>
  <si>
    <t>[1.8307281000015792]</t>
  </si>
  <si>
    <t>[1.9306789999973262]</t>
  </si>
  <si>
    <t>[1.5081123999989359]</t>
  </si>
  <si>
    <t>[2.041835700001684]</t>
  </si>
  <si>
    <t>[2.6141424999950686]</t>
  </si>
  <si>
    <t>[1.9191944000049261]</t>
  </si>
  <si>
    <t>[1.5713828999869293]</t>
  </si>
  <si>
    <t>[1.4807815000094706]</t>
  </si>
  <si>
    <t>[1.8801822000095854]</t>
  </si>
  <si>
    <t>[2.3789311000000453]</t>
  </si>
  <si>
    <t>[1.353241100005107]</t>
  </si>
  <si>
    <t>[1.9290499999915482]</t>
  </si>
  <si>
    <t>[1.1568292000010842]</t>
  </si>
  <si>
    <t>[2.150460099990596]</t>
  </si>
  <si>
    <t>[1.8502470000094036]</t>
  </si>
  <si>
    <t>[2.600146600001608]</t>
  </si>
  <si>
    <t>[2.841658899997128]</t>
  </si>
  <si>
    <t>[2.588817099996959]</t>
  </si>
  <si>
    <t>[2.460216199993738]</t>
  </si>
  <si>
    <t>[1.5780573999945773]</t>
  </si>
  <si>
    <t>[1.3571569000050658]</t>
  </si>
  <si>
    <t>[2.06613879998622]</t>
  </si>
  <si>
    <t>[2.8887206000072183]</t>
  </si>
  <si>
    <t>[2.1623183000046993]</t>
  </si>
  <si>
    <t>[2.5303882000007434]</t>
  </si>
  <si>
    <t>[2.1985774999920977]</t>
  </si>
  <si>
    <t>[1.7659577000013087]</t>
  </si>
  <si>
    <t>[2.0163764000026276]</t>
  </si>
  <si>
    <t>[1.6498214000021107]</t>
  </si>
  <si>
    <t>[2.282181699993089]</t>
  </si>
  <si>
    <t>[1.5817738999903668]</t>
  </si>
  <si>
    <t>[0.9313234000001103]</t>
  </si>
  <si>
    <t>[3.0417037999868626]</t>
  </si>
  <si>
    <t>[1.7141128999937791]</t>
  </si>
  <si>
    <t>[2.2191250000032596]</t>
  </si>
  <si>
    <t>[2.1170827000023564]</t>
  </si>
  <si>
    <t>[2.034154299995862]</t>
  </si>
  <si>
    <t>[1.7983174000110012]</t>
  </si>
  <si>
    <t>[1.418128000004799]</t>
  </si>
  <si>
    <t>[1.6296285999997053]</t>
  </si>
  <si>
    <t>[1.489239100003033]</t>
  </si>
  <si>
    <t>[1.8634621999954106]</t>
  </si>
  <si>
    <t>[1.2622572999971453]</t>
  </si>
  <si>
    <t>[2.214861699991161]</t>
  </si>
  <si>
    <t>[1.9645737999962876]</t>
  </si>
  <si>
    <t>[1.924756399996113]</t>
  </si>
  <si>
    <t>[1.9280044000042835]</t>
  </si>
  <si>
    <t>[1.653549100010423]</t>
  </si>
  <si>
    <t>[2.536293500001193]</t>
  </si>
  <si>
    <t>[1.662035500005004]</t>
  </si>
  <si>
    <t>[1.1811480000033043]</t>
  </si>
  <si>
    <t>[1.6315009999962058]</t>
  </si>
  <si>
    <t>[1.1812536000070395]</t>
  </si>
  <si>
    <t>[1.5340768000023672]</t>
  </si>
  <si>
    <t>[1.850408600002993]</t>
  </si>
  <si>
    <t>[2.2707127000030596]</t>
  </si>
  <si>
    <t>[2.069305600001826]</t>
  </si>
  <si>
    <t>[1.2836735000018962]</t>
  </si>
  <si>
    <t>[1.8317305999953533]</t>
  </si>
  <si>
    <t>[0.9674064999999246]</t>
  </si>
  <si>
    <t>[2.095481299998937]</t>
  </si>
  <si>
    <t>[1.2374889999919105]</t>
  </si>
  <si>
    <t>[1.245949300006032]</t>
  </si>
  <si>
    <t>[1.2470430999965174]</t>
  </si>
  <si>
    <t>[1.2485680999961914]</t>
  </si>
  <si>
    <t>[2.017152200001874]</t>
  </si>
  <si>
    <t>[2.1333668000006583]</t>
  </si>
  <si>
    <t>[2.048978199993144]</t>
  </si>
  <si>
    <t>[1.8487680999969598]</t>
  </si>
  <si>
    <t>[1.6509548000030918]</t>
  </si>
  <si>
    <t>[2.1618277999950806]</t>
  </si>
  <si>
    <t>[2.001737900005537]</t>
  </si>
  <si>
    <t>[1.8640221000096062]</t>
  </si>
  <si>
    <t>[1.0984261999983573]</t>
  </si>
  <si>
    <t>[1.9192719999991823]</t>
  </si>
  <si>
    <t>[0.9678874999954132]</t>
  </si>
  <si>
    <t>[1.3819176000106381]</t>
  </si>
  <si>
    <t>[1.5904612000013003]</t>
  </si>
  <si>
    <t>[2.208124900003895]</t>
  </si>
  <si>
    <t>[1.904359399995883]</t>
  </si>
  <si>
    <t>[1.8662464000080945]</t>
  </si>
  <si>
    <t>[1.568819700012682]</t>
  </si>
  <si>
    <t>[1.3860461999865947]</t>
  </si>
  <si>
    <t>[2.4561879000102635]</t>
  </si>
  <si>
    <t>[1.363410699996166]</t>
  </si>
  <si>
    <t>[1.51379279998946]</t>
  </si>
  <si>
    <t>[2.199814799998421]</t>
  </si>
  <si>
    <t>[2.0993419000005815]</t>
  </si>
  <si>
    <t>[1.5795021999947494]</t>
  </si>
  <si>
    <t>[3.999257100003888]</t>
  </si>
  <si>
    <t>[1.4120130999945104]</t>
  </si>
  <si>
    <t>[6.15371289999166]</t>
  </si>
  <si>
    <t>[1.5132426000054693]</t>
  </si>
  <si>
    <t>[4.152572199993301]</t>
  </si>
  <si>
    <t>[1.8969232000090415]</t>
  </si>
  <si>
    <t>[2.531887300006929]</t>
  </si>
  <si>
    <t>[3.707588899997063]</t>
  </si>
  <si>
    <t>[1.7690225999976974]</t>
  </si>
  <si>
    <t>[1.697507399992901]</t>
  </si>
  <si>
    <t>[1.802569899999071]</t>
  </si>
  <si>
    <t>[1.7682588000025135]</t>
  </si>
  <si>
    <t>[2.086694500001613]</t>
  </si>
  <si>
    <t>[2.1257417000015266]</t>
  </si>
  <si>
    <t>[2.602386699989438]</t>
  </si>
  <si>
    <t>[2.4531301999959396]</t>
  </si>
  <si>
    <t>[1.7963961999921594]</t>
  </si>
  <si>
    <t>[2.172636799994507]</t>
  </si>
  <si>
    <t>[2.081243699998595]</t>
  </si>
  <si>
    <t>[1.9704021999932593]</t>
  </si>
  <si>
    <t>[3.236487500005751]</t>
  </si>
  <si>
    <t>[2.779550499995821]</t>
  </si>
  <si>
    <t>[1.899366799989366]</t>
  </si>
  <si>
    <t>[1.4861952000064775]</t>
  </si>
  <si>
    <t>[1.6102081999997608]</t>
  </si>
  <si>
    <t>[2.0792363999935333]</t>
  </si>
  <si>
    <t>[2.0336345999967307]</t>
  </si>
  <si>
    <t>[1.9230098999978509]</t>
  </si>
  <si>
    <t>[2.1178502999973716]</t>
  </si>
  <si>
    <t>[2.3123013000003994]</t>
  </si>
  <si>
    <t>[1.4616760999924736]</t>
  </si>
  <si>
    <t>[1.6616531000036048]</t>
  </si>
  <si>
    <t>[1.8006836999993538]</t>
  </si>
  <si>
    <t>[1.059361399995396]</t>
  </si>
  <si>
    <t>[2.540430999986711]</t>
  </si>
  <si>
    <t>[1.3023985000036191]</t>
  </si>
  <si>
    <t>[1.6326066000037827]</t>
  </si>
  <si>
    <t>[1.4323825999890687]</t>
  </si>
  <si>
    <t>[2.0978579000075115]</t>
  </si>
  <si>
    <t>[1.3718077999947127]</t>
  </si>
  <si>
    <t>[1.2832049999997253]</t>
  </si>
  <si>
    <t>[1.895572399997036]</t>
  </si>
  <si>
    <t>[1.7220687999943038]</t>
  </si>
  <si>
    <t>[1.7875939000077778]</t>
  </si>
  <si>
    <t>[2.6417354000004707]</t>
  </si>
  <si>
    <t>[2.7561959000013303]</t>
  </si>
  <si>
    <t>[2.505444800000987]</t>
  </si>
  <si>
    <t>[1.90147799999977]</t>
  </si>
  <si>
    <t>[2.2234758000122383]</t>
  </si>
  <si>
    <t>[4.521615699995891]</t>
  </si>
  <si>
    <t>[2.09548150000046]</t>
  </si>
  <si>
    <t>[6.0499911999941105]</t>
  </si>
  <si>
    <t>[7.952168000003439]</t>
  </si>
  <si>
    <t>[1.498673800000688]</t>
  </si>
  <si>
    <t>[4.844658300004085]</t>
  </si>
  <si>
    <t>[1.811325200003921]</t>
  </si>
  <si>
    <t>[2.317145499997423]</t>
  </si>
  <si>
    <t>[1.643129099989892]</t>
  </si>
  <si>
    <t>[1.7552538000018103]</t>
  </si>
  <si>
    <t>[1.4398089999885997]</t>
  </si>
  <si>
    <t>[2.2322445000027074]</t>
  </si>
  <si>
    <t>[1.9865930000087246]</t>
  </si>
  <si>
    <t>[3.295842799998354]</t>
  </si>
  <si>
    <t>[2.382276999996975]</t>
  </si>
  <si>
    <t>[1.7278622000012547]</t>
  </si>
  <si>
    <t>[1.6339349000045331]</t>
  </si>
  <si>
    <t>[1.4236055000073975]</t>
  </si>
  <si>
    <t>[1.8791541000100551]</t>
  </si>
  <si>
    <t>[1.6093280000059167]</t>
  </si>
  <si>
    <t>[1.3735734000074444]</t>
  </si>
  <si>
    <t>[1.629510400001891]</t>
  </si>
  <si>
    <t>[1.3879473999986658]</t>
  </si>
  <si>
    <t>[3.5116672000003746]</t>
  </si>
  <si>
    <t>[1.9353846000012709]</t>
  </si>
  <si>
    <t>[1.515743099997053]</t>
  </si>
  <si>
    <t>[1.5657933999900706]</t>
  </si>
  <si>
    <t>[1.8039333000051556]</t>
  </si>
  <si>
    <t>[1.9027375000005122]</t>
  </si>
  <si>
    <t>[2.167968199995812]</t>
  </si>
  <si>
    <t>[1.2998697000002721]</t>
  </si>
  <si>
    <t>[1.7298262999975123]</t>
  </si>
  <si>
    <t>[1.5545065000042086]</t>
  </si>
  <si>
    <t>[2.1623321999941254]</t>
  </si>
  <si>
    <t>[2.600589800000307]</t>
  </si>
  <si>
    <t>[2.3702144999988377]</t>
  </si>
  <si>
    <t>[1.5248109999956796]</t>
  </si>
  <si>
    <t>[1.4737497000023723]</t>
  </si>
  <si>
    <t>[1.7171346999966772]</t>
  </si>
  <si>
    <t>[1.557653099996969]</t>
  </si>
  <si>
    <t>[1.7367579999990994]</t>
  </si>
  <si>
    <t>[1.5996683000121266]</t>
  </si>
  <si>
    <t>[1.8809518000052776]</t>
  </si>
  <si>
    <t>[1.7315976000099909]</t>
  </si>
  <si>
    <t>[1.495382499997504]</t>
  </si>
  <si>
    <t>[1.3267562000110047]</t>
  </si>
  <si>
    <t>[2.872698799998034]</t>
  </si>
  <si>
    <t>[1.2431920999952126]</t>
  </si>
  <si>
    <t>[1.284756799999741]</t>
  </si>
  <si>
    <t>[1.7012000999966403]</t>
  </si>
  <si>
    <t>[2.63096160000714]</t>
  </si>
  <si>
    <t>[2.5654993999924045]</t>
  </si>
  <si>
    <t>[1.3621214000013424]</t>
  </si>
  <si>
    <t>[1.7042848999990383]</t>
  </si>
  <si>
    <t>[1.8878177999868058]</t>
  </si>
  <si>
    <t>[1.1944209000066621]</t>
  </si>
  <si>
    <t>[1.5883532000007108]</t>
  </si>
  <si>
    <t>[1.696087100004661]</t>
  </si>
  <si>
    <t>[1.322333100004471]</t>
  </si>
  <si>
    <t>[2.180591900003492]</t>
  </si>
  <si>
    <t>[1.9845854000013787]</t>
  </si>
  <si>
    <t>[0.9965809999994235]</t>
  </si>
  <si>
    <t>[1.2740843999927165]</t>
  </si>
  <si>
    <t>[1.3175470999995014]</t>
  </si>
  <si>
    <t>[1.9779342000110773]</t>
  </si>
  <si>
    <t>[1.4198430999967968]</t>
  </si>
  <si>
    <t>[2.0478155999880983]</t>
  </si>
  <si>
    <t>[2.2640792000020156]</t>
  </si>
  <si>
    <t>[1.304794600000605]</t>
  </si>
  <si>
    <t>[2.117546699999366]</t>
  </si>
  <si>
    <t>[1.4183366000070237]</t>
  </si>
  <si>
    <t>[1.586288099992089]</t>
  </si>
  <si>
    <t>[1.6794294999999693]</t>
  </si>
  <si>
    <t>[1.816269300004933]</t>
  </si>
  <si>
    <t>[2.565478600008646]</t>
  </si>
  <si>
    <t>[1.7014190999907441]</t>
  </si>
  <si>
    <t>[2.480348699988099]</t>
  </si>
  <si>
    <t>[2.0148608000017703]</t>
  </si>
  <si>
    <t>[1.71471760001441]</t>
  </si>
  <si>
    <t>[3.022747299997718]</t>
  </si>
  <si>
    <t>[2.063180899989675]</t>
  </si>
  <si>
    <t>[2.114926000009291]</t>
  </si>
  <si>
    <t>[1.7857260999880964]</t>
  </si>
  <si>
    <t>[1.730646500000148]</t>
  </si>
  <si>
    <t>[1.266566199992667]</t>
  </si>
  <si>
    <t>[1.5660161999985576]</t>
  </si>
  <si>
    <t>[1.4333751999947708]</t>
  </si>
  <si>
    <t>[1.6460673999972641]</t>
  </si>
  <si>
    <t>[1.4400335999962408]</t>
  </si>
  <si>
    <t>[1.6971569000015734]</t>
  </si>
  <si>
    <t>[2.1766632000071695]</t>
  </si>
  <si>
    <t>[1.2960569999995641]</t>
  </si>
  <si>
    <t>[2.3309347000031266]</t>
  </si>
  <si>
    <t>[1.74936180000077]</t>
  </si>
  <si>
    <t>[1.3160656000109157]</t>
  </si>
  <si>
    <t>[1.4335945000057109]</t>
  </si>
  <si>
    <t>[2.525668299989775]</t>
  </si>
  <si>
    <t>[1.8165205999976024]</t>
  </si>
  <si>
    <t>[1.166268899993156]</t>
  </si>
  <si>
    <t>[1.5475162000075215]</t>
  </si>
  <si>
    <t>[2.2451428000058513]</t>
  </si>
  <si>
    <t>[1.5633856999920681]</t>
  </si>
  <si>
    <t>[1.2988158999942243]</t>
  </si>
  <si>
    <t>[1.4941923000005772]</t>
  </si>
  <si>
    <t>[1.301754099986283]</t>
  </si>
  <si>
    <t>[2.5030165999924066]</t>
  </si>
  <si>
    <t>[1.3847285999945598]</t>
  </si>
  <si>
    <t>[3.0405166999989888]</t>
  </si>
  <si>
    <t>[1.7186774000001606]</t>
  </si>
  <si>
    <t>[1.5149024999991525]</t>
  </si>
  <si>
    <t>[1.8879149999993388]</t>
  </si>
  <si>
    <t>[1.6483575999882305]</t>
  </si>
  <si>
    <t>[2.428120900003705]</t>
  </si>
  <si>
    <t>[2.117918700008886]</t>
  </si>
  <si>
    <t>[1.7338156000041636]</t>
  </si>
  <si>
    <t>[2.0382921999989776]</t>
  </si>
  <si>
    <t>[1.1567937999934657]</t>
  </si>
  <si>
    <t>[1.5658343999966746]</t>
  </si>
  <si>
    <t>[2.184953099989798]</t>
  </si>
  <si>
    <t>[2.459828999999445]</t>
  </si>
  <si>
    <t>[2.1164448999916203]</t>
  </si>
  <si>
    <t>[1.7234121000074083]</t>
  </si>
  <si>
    <t>[1.6491087000031257]</t>
  </si>
  <si>
    <t>[2.397281400000793]</t>
  </si>
  <si>
    <t>[1.2401263999927323]</t>
  </si>
  <si>
    <t>[2.0385910000040894]</t>
  </si>
  <si>
    <t>[1.414301400000113]</t>
  </si>
  <si>
    <t>[2.67150079998828]</t>
  </si>
  <si>
    <t>[1.3667065000045113]</t>
  </si>
  <si>
    <t>[1.6349925000104122]</t>
  </si>
  <si>
    <t>[2.6028980999981286]</t>
  </si>
  <si>
    <t>[1.8626050000020768]</t>
  </si>
  <si>
    <t>[2.853835000001709]</t>
  </si>
  <si>
    <t>[1.0241153999959351]</t>
  </si>
  <si>
    <t>[1.6893840999982785]</t>
  </si>
  <si>
    <t>[1.4665979999990668]</t>
  </si>
  <si>
    <t>[1.4992463000089629]</t>
  </si>
  <si>
    <t>[1.8344710000092164]</t>
  </si>
  <si>
    <t>[2.1979726999998093]</t>
  </si>
  <si>
    <t>[2.2513624999992317]</t>
  </si>
  <si>
    <t>[1.7940157999983057]</t>
  </si>
  <si>
    <t>[1.8323056000081124]</t>
  </si>
  <si>
    <t>[2.4479939000011655]</t>
  </si>
  <si>
    <t>[1.4841324000008171]</t>
  </si>
  <si>
    <t>[2.033182700004545]</t>
  </si>
  <si>
    <t>[2.272398700006306]</t>
  </si>
  <si>
    <t>[1.7477063999976963]</t>
  </si>
  <si>
    <t>[1.453442800004268]</t>
  </si>
  <si>
    <t>[1.9014527999970596]</t>
  </si>
  <si>
    <t>[1.4436496999987867]</t>
  </si>
  <si>
    <t>[1.5341326000052504]</t>
  </si>
  <si>
    <t>[2.115373799999361]</t>
  </si>
  <si>
    <t>[2.514944700000342]</t>
  </si>
  <si>
    <t>[2.000083999999333]</t>
  </si>
  <si>
    <t>[1.8906678000057582]</t>
  </si>
  <si>
    <t>[2.29916090000188]</t>
  </si>
  <si>
    <t>[1.4183125999988988]</t>
  </si>
  <si>
    <t>[2.0482741000014357]</t>
  </si>
  <si>
    <t>[1.0989333000034094]</t>
  </si>
  <si>
    <t>[1.3009986000106437]</t>
  </si>
  <si>
    <t>[1.9967329000064638]</t>
  </si>
  <si>
    <t>[1.4187112000072375]</t>
  </si>
  <si>
    <t>[2.6551363000035053]</t>
  </si>
  <si>
    <t>[1.5705999999918276]</t>
  </si>
  <si>
    <t>[1.2472973000112688]</t>
  </si>
  <si>
    <t>[1.4639101999928243]</t>
  </si>
  <si>
    <t>[1.2487327999988338]</t>
  </si>
  <si>
    <t>[2.0026477000064915]</t>
  </si>
  <si>
    <t>[1.6223923999932595]</t>
  </si>
  <si>
    <t>[2.0846934000001056]</t>
  </si>
  <si>
    <t>[1.0287359000067227]</t>
  </si>
  <si>
    <t>[2.07426029999624]</t>
  </si>
  <si>
    <t>[1.499467800007551]</t>
  </si>
  <si>
    <t>[1.8362893000012264]</t>
  </si>
  <si>
    <t>[2.7599940999934915]</t>
  </si>
  <si>
    <t>[5.1376428000075975]</t>
  </si>
  <si>
    <t>[1.3956605999992462]</t>
  </si>
  <si>
    <t>[2.3578428000037093]</t>
  </si>
  <si>
    <t>[1.8138136999914423]</t>
  </si>
  <si>
    <t>[1.9757212999975309]</t>
  </si>
  <si>
    <t>[1.583675600006245]</t>
  </si>
  <si>
    <t>[3.214848900010111]</t>
  </si>
  <si>
    <t>[1.9684446000028402]</t>
  </si>
  <si>
    <t>[2.1153641999990214]</t>
  </si>
  <si>
    <t>[1.7796769999986282]</t>
  </si>
  <si>
    <t>[2.865981199996895]</t>
  </si>
  <si>
    <t>[1.9570833000034327]</t>
  </si>
  <si>
    <t>[2.1400143999926513]</t>
  </si>
  <si>
    <t>[1.2296273000101792]</t>
  </si>
  <si>
    <t>[2.9668813000025693]</t>
  </si>
  <si>
    <t>[1.3538529999932507]</t>
  </si>
  <si>
    <t>[1.8343886000075145]</t>
  </si>
  <si>
    <t>[2.5982300999894505]</t>
  </si>
  <si>
    <t>[2.260369499999797]</t>
  </si>
  <si>
    <t>[2.162903300006292]</t>
  </si>
  <si>
    <t>[1.3007566000014776]</t>
  </si>
  <si>
    <t>[2.067309399993974]</t>
  </si>
  <si>
    <t>[1.8307963000115706]</t>
  </si>
  <si>
    <t>[2.0488651000050595]</t>
  </si>
  <si>
    <t>[2.5177660000044852]</t>
  </si>
  <si>
    <t>[2.1163795000029495]</t>
  </si>
  <si>
    <t>[2.5506329000054393]</t>
  </si>
  <si>
    <t>[1.9641425000008894]</t>
  </si>
  <si>
    <t>[1.2671713999880012]</t>
  </si>
  <si>
    <t>[1.606941399993957]</t>
  </si>
  <si>
    <t>[1.6399356999900192]</t>
  </si>
  <si>
    <t>[2.330082100001164]</t>
  </si>
  <si>
    <t>[1.706751499994425]</t>
  </si>
  <si>
    <t>[1.5333401000098092]</t>
  </si>
  <si>
    <t>[2.4560448999982327]</t>
  </si>
  <si>
    <t>[1.7290715999988606]</t>
  </si>
  <si>
    <t>[1.9665337999904295]</t>
  </si>
  <si>
    <t>[1.629543700008071]</t>
  </si>
  <si>
    <t>[1.8839376000105403]</t>
  </si>
  <si>
    <t>[2.363550900001428]</t>
  </si>
  <si>
    <t>[1.9001255000039237]</t>
  </si>
  <si>
    <t>[1.2973995999927865]</t>
  </si>
  <si>
    <t>[1.1845725000021048]</t>
  </si>
  <si>
    <t>[1.5044537999929162]</t>
  </si>
  <si>
    <t>[1.4190871000027983]</t>
  </si>
  <si>
    <t>[2.4999365999974543]</t>
  </si>
  <si>
    <t>[1.9498046999942744]</t>
  </si>
  <si>
    <t>[2.4624635000072885]</t>
  </si>
  <si>
    <t>[1.78081939999538]</t>
  </si>
  <si>
    <t>[1.8629995999945095]</t>
  </si>
  <si>
    <t>[1.3702492000011262]</t>
  </si>
  <si>
    <t>[1.7998869000002742]</t>
  </si>
  <si>
    <t>[0.916349099992658]</t>
  </si>
  <si>
    <t>[1.553027399990242]</t>
  </si>
  <si>
    <t>[1.5393356999993557]</t>
  </si>
  <si>
    <t>[2.1157040999969468]</t>
  </si>
  <si>
    <t>[1.3060215000004973]</t>
  </si>
  <si>
    <t>[2.937820200007991]</t>
  </si>
  <si>
    <t>[2.380618399998639]</t>
  </si>
  <si>
    <t>[1.4746525999944424]</t>
  </si>
  <si>
    <t>[2.5846346999896923]</t>
  </si>
  <si>
    <t>[2.3983379999990575]</t>
  </si>
  <si>
    <t>[2.7005245000036666]</t>
  </si>
  <si>
    <t>[2.282895099997404]</t>
  </si>
  <si>
    <t>[2.279833900000085]</t>
  </si>
  <si>
    <t>[1.8228982000000542]</t>
  </si>
  <si>
    <t>[1.6326809000020148]</t>
  </si>
  <si>
    <t>[1.54675490000227]</t>
  </si>
  <si>
    <t>[1.5143950000056066]</t>
  </si>
  <si>
    <t>[2.9920263000094565]</t>
  </si>
  <si>
    <t>[2.33028270000068]</t>
  </si>
  <si>
    <t>[1.9631488000013633]</t>
  </si>
  <si>
    <t>[3.2135283000097843]</t>
  </si>
  <si>
    <t>[1.4889251999993576]</t>
  </si>
  <si>
    <t>[1.6172073999914574]</t>
  </si>
  <si>
    <t>[1.480604600001243]</t>
  </si>
  <si>
    <t>[2.4709332000056747]</t>
  </si>
  <si>
    <t>[1.5742382000025827]</t>
  </si>
  <si>
    <t>[1.643268799991347]</t>
  </si>
  <si>
    <t>[1.6619181999994908]</t>
  </si>
  <si>
    <t>[1.424943499994697]</t>
  </si>
  <si>
    <t>[2.3872835999936797]</t>
  </si>
  <si>
    <t>[1.801753199993982]</t>
  </si>
  <si>
    <t>[2.1287863999896217]</t>
  </si>
  <si>
    <t>[1.53325429999677]</t>
  </si>
  <si>
    <t>[1.7439250000024913]</t>
  </si>
  <si>
    <t>[2.6030640000099083]</t>
  </si>
  <si>
    <t>[1.694475100011914]</t>
  </si>
  <si>
    <t>[1.7784804000111762]</t>
  </si>
  <si>
    <t>[1.4650247000099625]</t>
  </si>
  <si>
    <t>[1.3668636000074912]</t>
  </si>
  <si>
    <t>[3.0030626999941887]</t>
  </si>
  <si>
    <t>[1.0769606999965617]</t>
  </si>
  <si>
    <t>[1.9145789000031073]</t>
  </si>
  <si>
    <t>[1.4342067999969004]</t>
  </si>
  <si>
    <t>[1.515969899992342]</t>
  </si>
  <si>
    <t>[1.5704484000016237]</t>
  </si>
  <si>
    <t>[1.3337118999916129]</t>
  </si>
  <si>
    <t>[1.536023299995577]</t>
  </si>
  <si>
    <t>[1.5007960999937495]</t>
  </si>
  <si>
    <t>[1.4996735000022454]</t>
  </si>
  <si>
    <t>[2.4400451999972574]</t>
  </si>
  <si>
    <t>[1.8232170999981463]</t>
  </si>
  <si>
    <t>[1.5811067999893567]</t>
  </si>
  <si>
    <t>[2.19807069998933]</t>
  </si>
  <si>
    <t>[2.3908772000140743]</t>
  </si>
  <si>
    <t>[2.816784700000426]</t>
  </si>
  <si>
    <t>[2.2222885999944992]</t>
  </si>
  <si>
    <t>[1.8642363999970257]</t>
  </si>
  <si>
    <t>[1.9869476000021677]</t>
  </si>
  <si>
    <t>[1.6651254000025801]</t>
  </si>
  <si>
    <t>[1.320271699994919]</t>
  </si>
  <si>
    <t>[2.0998999000003096]</t>
  </si>
  <si>
    <t>[1.5959871999948518]</t>
  </si>
  <si>
    <t>[1.3439941000106046]</t>
  </si>
  <si>
    <t>[1.5504264000046533]</t>
  </si>
  <si>
    <t>[1.8772504999942612]</t>
  </si>
  <si>
    <t>[1.5988957999943523]</t>
  </si>
  <si>
    <t>[1.749232000001939]</t>
  </si>
  <si>
    <t>[1.6837151000072481]</t>
  </si>
  <si>
    <t>[1.7294305999967037]</t>
  </si>
  <si>
    <t>[2.0281296000030125]</t>
  </si>
  <si>
    <t>[2.7544099999940954]</t>
  </si>
  <si>
    <t>[1.8399443999951473]</t>
  </si>
  <si>
    <t>[1.7613099000009242]</t>
  </si>
  <si>
    <t>[2.215741699998034]</t>
  </si>
  <si>
    <t>[1.8759718999936013]</t>
  </si>
  <si>
    <t>[1.3875535999977728]</t>
  </si>
  <si>
    <t>[2.55529899999965]</t>
  </si>
  <si>
    <t>[1.9158528999978444]</t>
  </si>
  <si>
    <t>[1.6017731000029016]</t>
  </si>
  <si>
    <t>[2.543013599992264]</t>
  </si>
  <si>
    <t>[1.549583200001507]</t>
  </si>
  <si>
    <t>[2.0651536000077613]</t>
  </si>
  <si>
    <t>[1.7157998000038788]</t>
  </si>
  <si>
    <t>[1.8352741000126116]</t>
  </si>
  <si>
    <t>[2.5072775000007823]</t>
  </si>
  <si>
    <t>[2.233250700010103]</t>
  </si>
  <si>
    <t>[2.0320263000030536]</t>
  </si>
  <si>
    <t>[2.2500260999950115]</t>
  </si>
  <si>
    <t>[1.7434480999945663]</t>
  </si>
  <si>
    <t>[1.2182388999935938]</t>
  </si>
  <si>
    <t>[1.672372599990922]</t>
  </si>
  <si>
    <t>[2.1479200000030687]</t>
  </si>
  <si>
    <t>[1.465990900003817]</t>
  </si>
  <si>
    <t>[2.0196159000042826]</t>
  </si>
  <si>
    <t>[1.4171477999916533]</t>
  </si>
  <si>
    <t>[2.3648268999968423]</t>
  </si>
  <si>
    <t>[1.6449753000051714]</t>
  </si>
  <si>
    <t>[1.6336067000083858]</t>
  </si>
  <si>
    <t>[2.481741499999771]</t>
  </si>
  <si>
    <t>[1.5631286999996519]</t>
  </si>
  <si>
    <t>[2.0573264000122435]</t>
  </si>
  <si>
    <t>[2.850842500003637]</t>
  </si>
  <si>
    <t>[1.6670152000006055]</t>
  </si>
  <si>
    <t>[2.4702073999942513]</t>
  </si>
  <si>
    <t>[1.7822057000012137]</t>
  </si>
  <si>
    <t>[1.8219602999888593]</t>
  </si>
  <si>
    <t>[1.7339432999870041]</t>
  </si>
  <si>
    <t>[3.0135922000044957]</t>
  </si>
  <si>
    <t>[1.6981241000030423]</t>
  </si>
  <si>
    <t>[2.264609999998356]</t>
  </si>
  <si>
    <t>[1.7326471999986097]</t>
  </si>
  <si>
    <t>[2.124150399991777]</t>
  </si>
  <si>
    <t>[5.86568050000642]</t>
  </si>
  <si>
    <t>[1.8494301000027917]</t>
  </si>
  <si>
    <t>[1.4842022999946494]</t>
  </si>
  <si>
    <t>[2.083452799997758]</t>
  </si>
  <si>
    <t>[2.6183002999896416]</t>
  </si>
  <si>
    <t>[1.4711630000092555]</t>
  </si>
  <si>
    <t>[3.0985908000002382]</t>
  </si>
  <si>
    <t>[1.43616430000111]</t>
  </si>
  <si>
    <t>[1.3804481999977725]</t>
  </si>
  <si>
    <t>[1.469039799994789]</t>
  </si>
  <si>
    <t>[1.5925938000000315]</t>
  </si>
  <si>
    <t>[1.8030049000080908]</t>
  </si>
  <si>
    <t>[1.8226353000063682]</t>
  </si>
  <si>
    <t>[2.263606599997729]</t>
  </si>
  <si>
    <t>[2.77987289999146]</t>
  </si>
  <si>
    <t>[2.094963800002006]</t>
  </si>
  <si>
    <t>[1.4951763999997638]</t>
  </si>
  <si>
    <t>[2.0253387999982806]</t>
  </si>
  <si>
    <t>[1.8430194999964442]</t>
  </si>
  <si>
    <t>[1.7607073999970453]</t>
  </si>
  <si>
    <t>[1.8133311999990838]</t>
  </si>
  <si>
    <t>[1.8147500000050059]</t>
  </si>
  <si>
    <t>[1.4495216000068467]</t>
  </si>
  <si>
    <t>[1.6662466999987373]</t>
  </si>
  <si>
    <t>[1.555676299991319]</t>
  </si>
  <si>
    <t>[2.000871099997312]</t>
  </si>
  <si>
    <t>[1.361628999991808]</t>
  </si>
  <si>
    <t>[1.3769940000056522]</t>
  </si>
  <si>
    <t>[1.5207835999899544]</t>
  </si>
  <si>
    <t>[1.2129193000000669]</t>
  </si>
  <si>
    <t>[1.3979672999994364]</t>
  </si>
  <si>
    <t>[1.7534607999987202]</t>
  </si>
  <si>
    <t>[1.9056933999963803]</t>
  </si>
  <si>
    <t>[1.2098508000053698]</t>
  </si>
  <si>
    <t>[1.752808700010064]</t>
  </si>
  <si>
    <t>[1.735564999995404]</t>
  </si>
  <si>
    <t>[2.6105275000008987]</t>
  </si>
  <si>
    <t>[1.5163840000022901]</t>
  </si>
  <si>
    <t>[1.4989312999969115]</t>
  </si>
  <si>
    <t>[1.2948143999965396]</t>
  </si>
  <si>
    <t>[1.0858768000034615]</t>
  </si>
  <si>
    <t>[3.2405219999927795]</t>
  </si>
  <si>
    <t>[2.1304957999964245]</t>
  </si>
  <si>
    <t>[2.3012199999939185]</t>
  </si>
  <si>
    <t>[2.053864600005909]</t>
  </si>
  <si>
    <t>[2.123738599999342]</t>
  </si>
  <si>
    <t>[1.7112828000099398]</t>
  </si>
  <si>
    <t>[2.5817407999857096]</t>
  </si>
  <si>
    <t>[1.6337955000053626]</t>
  </si>
  <si>
    <t>[1.1637805999926059]</t>
  </si>
  <si>
    <t>[1.6129072000039741]</t>
  </si>
  <si>
    <t>[1.3786892000061926]</t>
  </si>
  <si>
    <t>[1.3161847000010312]</t>
  </si>
  <si>
    <t>[1.3767288999952143]</t>
  </si>
  <si>
    <t>[1.481451500003459]</t>
  </si>
  <si>
    <t>[1.3520837999967625]</t>
  </si>
  <si>
    <t>[1.4602845999907004]</t>
  </si>
  <si>
    <t>[2.0268839999916963]</t>
  </si>
  <si>
    <t>[2.0573555000009947]</t>
  </si>
  <si>
    <t>[1.9511084999976447]</t>
  </si>
  <si>
    <t>[1.852660400007153]</t>
  </si>
  <si>
    <t>[2.5317254999972647]</t>
  </si>
  <si>
    <t>[1.581665999998222]</t>
  </si>
  <si>
    <t>[1.7213119999942137]</t>
  </si>
  <si>
    <t>[1.7991124999971362]</t>
  </si>
  <si>
    <t>[1.3190638999949442]</t>
  </si>
  <si>
    <t>[2.7811879999935627]</t>
  </si>
  <si>
    <t>[1.2654610000026878]</t>
  </si>
  <si>
    <t>[2.3755154000100447]</t>
  </si>
  <si>
    <t>[1.607200099999318]</t>
  </si>
  <si>
    <t>[1.0313448000088101]</t>
  </si>
  <si>
    <t>[1.551136599999154]</t>
  </si>
  <si>
    <t>[1.9829518999904394]</t>
  </si>
  <si>
    <t>[1.5569080999994185]</t>
  </si>
  <si>
    <t>[1.7646215999993728]</t>
  </si>
  <si>
    <t>[1.3410771999915596]</t>
  </si>
  <si>
    <t>[1.2260452999908011]</t>
  </si>
  <si>
    <t>[1.5498328999965452]</t>
  </si>
  <si>
    <t>[1.3078259000030812]</t>
  </si>
  <si>
    <t>[2.7907295000040904]</t>
  </si>
  <si>
    <t>[2.3928627999994205]</t>
  </si>
  <si>
    <t>[2.0196048999932827]</t>
  </si>
  <si>
    <t>[2.18203780001204]</t>
  </si>
  <si>
    <t>[2.959302299990668]</t>
  </si>
  <si>
    <t>[1.6742853000032483]</t>
  </si>
  <si>
    <t>[2.4758285999996588]</t>
  </si>
  <si>
    <t>[1.4925444000109565]</t>
  </si>
  <si>
    <t>[1.6259219000057783]</t>
  </si>
  <si>
    <t>[1.7234281999990344]</t>
  </si>
  <si>
    <t>[1.3518840000033379]</t>
  </si>
  <si>
    <t>[1.4560906999977306]</t>
  </si>
  <si>
    <t>[2.261250600000494]</t>
  </si>
  <si>
    <t>[2.1651792000047863]</t>
  </si>
  <si>
    <t>[2.094224000000395]</t>
  </si>
  <si>
    <t>[2.244347199986805]</t>
  </si>
  <si>
    <t>[1.84602559999621]</t>
  </si>
  <si>
    <t>[1.4826827999931993]</t>
  </si>
  <si>
    <t>[1.9849541000003228]</t>
  </si>
  <si>
    <t>[1.4400140999932773]</t>
  </si>
  <si>
    <t>[1.4986289000080433]</t>
  </si>
  <si>
    <t>[1.3807096000091406]</t>
  </si>
  <si>
    <t>[1.198264199992991]</t>
  </si>
  <si>
    <t>[1.9282978999981424]</t>
  </si>
  <si>
    <t>[1.7264511000103084]</t>
  </si>
  <si>
    <t>[2.055498300003819]</t>
  </si>
  <si>
    <t>[1.397082399998908]</t>
  </si>
  <si>
    <t>[1.7087620999955107]</t>
  </si>
  <si>
    <t>[1.3726836999994703]</t>
  </si>
  <si>
    <t>[1.6510892999940552]</t>
  </si>
  <si>
    <t>[1.32058089999191]</t>
  </si>
  <si>
    <t>[1.69240090000676]</t>
  </si>
  <si>
    <t>[1.7085504999995464]</t>
  </si>
  <si>
    <t>[2.976620899993577]</t>
  </si>
  <si>
    <t>[1.402512900007423]</t>
  </si>
  <si>
    <t>[2.7932245999982115]</t>
  </si>
  <si>
    <t>[1.7971343000099296]</t>
  </si>
  <si>
    <t>[2.3044684999913443]</t>
  </si>
  <si>
    <t>[2.739748799998779]</t>
  </si>
  <si>
    <t>[2.6096989999932703]</t>
  </si>
  <si>
    <t>[1.5248373000067659]</t>
  </si>
  <si>
    <t>[2.15594240000064]</t>
  </si>
  <si>
    <t>[2.690410299997893]</t>
  </si>
  <si>
    <t>[2.07134500000393]</t>
  </si>
  <si>
    <t>[2.510380699997768]</t>
  </si>
  <si>
    <t>[2.432577100000344]</t>
  </si>
  <si>
    <t>[2.03182599999127]</t>
  </si>
  <si>
    <t>[2.0418499000079464]</t>
  </si>
  <si>
    <t>[1.7332093000004534]</t>
  </si>
  <si>
    <t>[2.3337007999944035]</t>
  </si>
  <si>
    <t>[0.9317280999966897]</t>
  </si>
  <si>
    <t>[1.1252042000123765]</t>
  </si>
  <si>
    <t>[1.3987830999976723]</t>
  </si>
  <si>
    <t>[1.544926000002306]</t>
  </si>
  <si>
    <t>[2.7571565999969607]</t>
  </si>
  <si>
    <t>[0.994298899997375]</t>
  </si>
  <si>
    <t>[1.5479425999947125]</t>
  </si>
  <si>
    <t>[2.384121999988565]</t>
  </si>
  <si>
    <t>[1.5572757000045385]</t>
  </si>
  <si>
    <t>[2.239618599996902]</t>
  </si>
  <si>
    <t>[1.732826900013606]</t>
  </si>
  <si>
    <t>[1.5067421999992803]</t>
  </si>
  <si>
    <t>[1.9175009000027785]</t>
  </si>
  <si>
    <t>[1.7714434999943478]</t>
  </si>
  <si>
    <t>[1.5835457999928622]</t>
  </si>
  <si>
    <t>[1.8797479999921052]</t>
  </si>
  <si>
    <t>[1.9213950999983354]</t>
  </si>
  <si>
    <t>[1.2311123000108637]</t>
  </si>
  <si>
    <t>[1.6866894999984652]</t>
  </si>
  <si>
    <t>[1.916107800003374]</t>
  </si>
  <si>
    <t>[1.5255189000017708]</t>
  </si>
  <si>
    <t>[2.023194000008516]</t>
  </si>
  <si>
    <t>[1.6034689999942202]</t>
  </si>
  <si>
    <t>[2.240685400000075]</t>
  </si>
  <si>
    <t>[1.848555499993381]</t>
  </si>
  <si>
    <t>[3.2997361999878194]</t>
  </si>
  <si>
    <t>[1.5056916999892564]</t>
  </si>
  <si>
    <t>[1.2619999000016833]</t>
  </si>
  <si>
    <t>[1.5232926000026055]</t>
  </si>
  <si>
    <t>[2.014664999995148]</t>
  </si>
  <si>
    <t>[1.9873949000029825]</t>
  </si>
  <si>
    <t>[1.9876062999974238]</t>
  </si>
  <si>
    <t>[2.803601300009177]</t>
  </si>
  <si>
    <t>[1.2860285000060685]</t>
  </si>
  <si>
    <t>[1.2200214000040432]</t>
  </si>
  <si>
    <t>[1.6095108000008622]</t>
  </si>
  <si>
    <t>[1.5192221000033896]</t>
  </si>
  <si>
    <t>[1.6503888000006555]</t>
  </si>
  <si>
    <t>[2.9079990000027465]</t>
  </si>
  <si>
    <t>[1.9425430999981472]</t>
  </si>
  <si>
    <t>[3.138106800004607]</t>
  </si>
  <si>
    <t>[1.7973994000058156]</t>
  </si>
  <si>
    <t>[1.8474271000013687]</t>
  </si>
  <si>
    <t>[2.0186785999976564]</t>
  </si>
  <si>
    <t>[1.3085719999944558]</t>
  </si>
  <si>
    <t>[1.5518797999975504]</t>
  </si>
  <si>
    <t>[1.18972070000018]</t>
  </si>
  <si>
    <t>[2.228025999997044]</t>
  </si>
  <si>
    <t>[1.3434347000002163]</t>
  </si>
  <si>
    <t>[2.1995505999948364]</t>
  </si>
  <si>
    <t>[1.7856516999891028]</t>
  </si>
  <si>
    <t>AVERAGE of RT</t>
  </si>
  <si>
    <t>P1</t>
  </si>
  <si>
    <t>P2</t>
  </si>
  <si>
    <t>P3</t>
  </si>
  <si>
    <t>P4</t>
  </si>
  <si>
    <t>P5</t>
  </si>
  <si>
    <t>Grand Total</t>
  </si>
  <si>
    <t>Distractors</t>
  </si>
  <si>
    <t>Mean RT</t>
  </si>
  <si>
    <t>Slope Comparision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</si>
</sst>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FFCCFF"/>
        <bgColor rgb="FFFFCCFF"/>
      </patternFill>
    </fill>
    <fill>
      <patternFill patternType="solid">
        <fgColor rgb="FFFF99CC"/>
        <bgColor rgb="FFFF99CC"/>
      </patternFill>
    </fill>
    <fill>
      <patternFill patternType="solid">
        <fgColor rgb="FFFF66CC"/>
        <bgColor rgb="FFFF66CC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1" numFmtId="0" xfId="0" applyFont="1"/>
    <xf borderId="0" fillId="4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7" fontId="2" numFmtId="0" xfId="0" applyAlignment="1" applyFill="1" applyFont="1">
      <alignment horizontal="right" readingOrder="0" shrinkToFit="0" vertical="bottom" wrapText="0"/>
    </xf>
    <xf borderId="0" fillId="8" fontId="2" numFmtId="0" xfId="0" applyAlignment="1" applyFill="1" applyFont="1">
      <alignment readingOrder="0" shrinkToFit="0" vertical="bottom" wrapText="0"/>
    </xf>
    <xf borderId="0" fillId="9" fontId="2" numFmtId="0" xfId="0" applyAlignment="1" applyFill="1" applyFont="1">
      <alignment readingOrder="0" shrinkToFit="0" vertical="bottom" wrapText="0"/>
    </xf>
    <xf borderId="0" fillId="10" fontId="2" numFmtId="0" xfId="0" applyAlignment="1" applyFill="1" applyFont="1">
      <alignment horizontal="right" readingOrder="0" shrinkToFit="0" vertical="bottom" wrapText="0"/>
    </xf>
    <xf borderId="0" fillId="11" fontId="2" numFmtId="0" xfId="0" applyAlignment="1" applyFill="1" applyFont="1">
      <alignment readingOrder="0" shrinkToFit="0" vertical="bottom" wrapText="0"/>
    </xf>
    <xf borderId="0" fillId="12" fontId="2" numFmtId="0" xfId="0" applyAlignment="1" applyFill="1" applyFont="1">
      <alignment readingOrder="0" shrinkToFit="0" vertical="bottom" wrapText="0"/>
    </xf>
    <xf borderId="0" fillId="13" fontId="2" numFmtId="0" xfId="0" applyAlignment="1" applyFill="1" applyFont="1">
      <alignment horizontal="right" readingOrder="0" shrinkToFit="0" vertical="bottom" wrapText="0"/>
    </xf>
    <xf borderId="0" fillId="14" fontId="2" numFmtId="0" xfId="0" applyAlignment="1" applyFill="1" applyFont="1">
      <alignment readingOrder="0" shrinkToFit="0" vertical="bottom" wrapText="0"/>
    </xf>
    <xf borderId="0" fillId="15" fontId="2" numFmtId="0" xfId="0" applyAlignment="1" applyFill="1" applyFont="1">
      <alignment readingOrder="0" shrinkToFit="0" vertical="bottom" wrapText="0"/>
    </xf>
    <xf borderId="0" fillId="16" fontId="2" numFmtId="0" xfId="0" applyAlignment="1" applyFill="1" applyFont="1">
      <alignment horizontal="right" readingOrder="0" shrinkToFit="0" vertical="bottom" wrapText="0"/>
    </xf>
    <xf borderId="0" fillId="17" fontId="1" numFmtId="0" xfId="0" applyFill="1" applyFont="1"/>
    <xf borderId="0" fillId="4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18" fontId="1" numFmtId="0" xfId="0" applyFill="1" applyFont="1"/>
    <xf borderId="0" fillId="18" fontId="1" numFmtId="0" xfId="0" applyAlignment="1" applyFont="1">
      <alignment readingOrder="0"/>
    </xf>
    <xf borderId="0" fillId="19" fontId="1" numFmtId="0" xfId="0" applyAlignment="1" applyFill="1" applyFont="1">
      <alignment readingOrder="0"/>
    </xf>
    <xf borderId="0" fillId="1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vs. Distractors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3'!$H$10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3'!$G$11:$G$12</c:f>
            </c:strRef>
          </c:cat>
          <c:val>
            <c:numRef>
              <c:f>'Pivot Table 3'!$H$11:$H$12</c:f>
              <c:numCache/>
            </c:numRef>
          </c:val>
        </c:ser>
        <c:axId val="1907611186"/>
        <c:axId val="1877814279"/>
      </c:barChart>
      <c:catAx>
        <c:axId val="1907611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Distractors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814279"/>
      </c:catAx>
      <c:valAx>
        <c:axId val="1877814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611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Slope Comparision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3'!$A$16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3'!$B$15:$F$15</c:f>
            </c:strRef>
          </c:cat>
          <c:val>
            <c:numRef>
              <c:f>'Pivot Table 3'!$B$16:$F$16</c:f>
              <c:numCache/>
            </c:numRef>
          </c:val>
          <c:smooth val="0"/>
        </c:ser>
        <c:axId val="861276150"/>
        <c:axId val="485414920"/>
      </c:lineChart>
      <c:catAx>
        <c:axId val="861276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414920"/>
      </c:catAx>
      <c:valAx>
        <c:axId val="485414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Slope Comparision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276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4</xdr:row>
      <xdr:rowOff>180975</xdr:rowOff>
    </xdr:from>
    <xdr:ext cx="5715000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18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828" sheet="Sheet1"/>
  </cacheSource>
  <cacheFields>
    <cacheField name="Participant" numFmtId="0">
      <sharedItems containsBlank="1">
        <s v="P1"/>
        <s v="P2"/>
        <s v="P3"/>
        <m/>
        <s v="P4"/>
        <s v="P5"/>
      </sharedItems>
    </cacheField>
    <cacheField name="thisN" numFmtId="0">
      <sharedItems containsString="0" containsBlank="1" containsNumber="1" containsInteger="1">
        <n v="0.0"/>
        <n v="1.0"/>
        <n v="2.0"/>
        <n v="4.0"/>
        <n v="5.0"/>
        <n v="6.0"/>
        <n v="8.0"/>
        <n v="9.0"/>
        <n v="10.0"/>
        <n v="13.0"/>
        <n v="14.0"/>
        <n v="15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40.0"/>
        <n v="41.0"/>
        <n v="42.0"/>
        <n v="44.0"/>
        <n v="45.0"/>
        <n v="47.0"/>
        <n v="48.0"/>
        <n v="50.0"/>
        <n v="51.0"/>
        <n v="52.0"/>
        <n v="55.0"/>
        <n v="56.0"/>
        <n v="58.0"/>
        <n v="59.0"/>
        <n v="61.0"/>
        <n v="62.0"/>
        <n v="64.0"/>
        <n v="65.0"/>
        <n v="66.0"/>
        <n v="67.0"/>
        <n v="68.0"/>
        <n v="69.0"/>
        <n v="71.0"/>
        <n v="72.0"/>
        <n v="73.0"/>
        <n v="74.0"/>
        <n v="76.0"/>
        <n v="77.0"/>
        <n v="78.0"/>
        <n v="79.0"/>
        <n v="80.0"/>
        <n v="82.0"/>
        <n v="83.0"/>
        <n v="84.0"/>
        <n v="85.0"/>
        <n v="86.0"/>
        <n v="87.0"/>
        <n v="88.0"/>
        <n v="90.0"/>
        <n v="91.0"/>
        <n v="92.0"/>
        <n v="93.0"/>
        <n v="94.0"/>
        <n v="95.0"/>
        <n v="96.0"/>
        <n v="97.0"/>
        <n v="98.0"/>
        <n v="99.0"/>
        <n v="100.0"/>
        <n v="103.0"/>
        <n v="104.0"/>
        <n v="105.0"/>
        <n v="107.0"/>
        <n v="108.0"/>
        <n v="110.0"/>
        <n v="112.0"/>
        <n v="113.0"/>
        <n v="115.0"/>
        <n v="116.0"/>
        <n v="117.0"/>
        <n v="118.0"/>
        <n v="119.0"/>
        <n v="120.0"/>
        <n v="121.0"/>
        <n v="122.0"/>
        <n v="123.0"/>
        <n v="124.0"/>
        <n v="126.0"/>
        <n v="127.0"/>
        <n v="128.0"/>
        <n v="129.0"/>
        <n v="130.0"/>
        <n v="132.0"/>
        <n v="133.0"/>
        <n v="134.0"/>
        <n v="135.0"/>
        <n v="136.0"/>
        <n v="137.0"/>
        <n v="138.0"/>
        <n v="139.0"/>
        <n v="140.0"/>
        <n v="141.0"/>
        <n v="144.0"/>
        <n v="145.0"/>
        <n v="146.0"/>
        <n v="147.0"/>
        <n v="148.0"/>
        <n v="149.0"/>
        <n v="150.0"/>
        <n v="152.0"/>
        <n v="153.0"/>
        <n v="155.0"/>
        <n v="156.0"/>
        <n v="157.0"/>
        <n v="158.0"/>
        <n v="159.0"/>
        <n v="160.0"/>
        <n v="161.0"/>
        <n v="163.0"/>
        <n v="164.0"/>
        <n v="165.0"/>
        <n v="166.0"/>
        <n v="167.0"/>
        <n v="168.0"/>
        <n v="169.0"/>
        <n v="172.0"/>
        <n v="173.0"/>
        <n v="174.0"/>
        <n v="175.0"/>
        <n v="176.0"/>
        <n v="177.0"/>
        <n v="179.0"/>
        <n v="182.0"/>
        <n v="183.0"/>
        <n v="184.0"/>
        <n v="185.0"/>
        <n v="186.0"/>
        <n v="187.0"/>
        <n v="188.0"/>
        <n v="189.0"/>
        <n v="190.0"/>
        <n v="191.0"/>
        <n v="192.0"/>
        <n v="194.0"/>
        <n v="195.0"/>
        <n v="196.0"/>
        <n v="197.0"/>
        <n v="198.0"/>
        <n v="7.0"/>
        <n v="11.0"/>
        <n v="12.0"/>
        <n v="16.0"/>
        <n v="23.0"/>
        <n v="24.0"/>
        <n v="43.0"/>
        <n v="46.0"/>
        <n v="49.0"/>
        <n v="54.0"/>
        <n v="57.0"/>
        <n v="60.0"/>
        <n v="63.0"/>
        <n v="70.0"/>
        <n v="75.0"/>
        <n v="81.0"/>
        <n v="89.0"/>
        <n v="101.0"/>
        <n v="102.0"/>
        <n v="106.0"/>
        <n v="109.0"/>
        <n v="111.0"/>
        <n v="114.0"/>
        <n v="125.0"/>
        <n v="131.0"/>
        <n v="142.0"/>
        <n v="143.0"/>
        <n v="154.0"/>
        <n v="162.0"/>
        <n v="170.0"/>
        <n v="171.0"/>
        <n v="180.0"/>
        <n v="181.0"/>
        <n v="193.0"/>
        <n v="199.0"/>
        <n v="39.0"/>
        <n v="53.0"/>
        <m/>
        <n v="151.0"/>
        <n v="178.0"/>
        <n v="3.0"/>
      </sharedItems>
    </cacheField>
    <cacheField name="mouse.time" numFmtId="0">
      <sharedItems containsBlank="1">
        <s v="[1.7232354000007035]"/>
        <s v="[3.2228456000011647]"/>
        <s v="[3.0563783000106923]"/>
        <s v="[3.4685446999937994]"/>
        <s v="[5.493073000005097]"/>
        <s v="[2.057388400004129]"/>
        <s v="[2.4832207999861566]"/>
        <s v="[2.1406101000029594]"/>
        <s v="[1.5168902000004891]"/>
        <s v="[1.9986370999977225]"/>
        <s v="[1.0966674999945099]"/>
        <s v="[1.9626769999886164]"/>
        <s v="[3.1632765000103973]"/>
        <s v="[1.9167051999975229]"/>
        <s v="[1.7021801000082633]"/>
        <s v="[1.8661717000068165]"/>
        <s v="[3.1184791999985464]"/>
        <s v="[1.963145000001532]"/>
        <s v="[1.8489159000018844]"/>
        <s v="[1.6972769999993034]"/>
        <s v="[2.3330254000029527]"/>
        <s v="[1.7869303000043146]"/>
        <s v="[1.4827382999937981]"/>
        <s v="[1.548514999987674]"/>
        <s v="[1.4210871000104817]"/>
        <s v="[1.662519000004977]"/>
        <s v="[1.0498642000020482]"/>
        <s v="[1.6161322999978438]"/>
        <s v="[1.53142869999283]"/>
        <s v="[1.5670400000090012]"/>
        <s v="[2.0216938000085065]"/>
        <s v="[2.224337400009972]"/>
        <s v="[1.5730699999985518]"/>
        <s v="[2.1199886000104016]"/>
        <s v="[1.3904930999997305]"/>
        <s v="[1.1357516000134638]"/>
        <s v="[1.4418236999918008]"/>
        <s v="[1.2066179000103148]"/>
        <s v="[1.7317513000016334]"/>
        <s v="[1.3950049999984913]"/>
        <s v="[1.7511894999915967]"/>
        <s v="[1.649129900004482]"/>
        <s v="[1.3820074000104796]"/>
        <s v="[1.1967659999936586]"/>
        <s v="[1.4466644000058295]"/>
        <s v="[1.2748768999881577]"/>
        <s v="[1.9337612999952398]"/>
        <s v="[3.8558962999959476]"/>
        <s v="[1.7016375999955926]"/>
        <s v="[1.1331755999999586]"/>
        <s v="[1.0040981999918586]"/>
        <s v="[3.058998900000006]"/>
        <s v="[2.2482032000116305]"/>
        <s v="[1.6435854000010295]"/>
        <s v="[2.3183559000026435]"/>
        <s v="[2.0721097999921767]"/>
        <s v="[2.2176302000007126]"/>
        <s v="[2.6736754999874393]"/>
        <s v="[2.2813087000104133]"/>
        <s v="[1.6020692000020063]"/>
        <s v="[1.7858137000002898]"/>
        <s v="[1.405485499999486]"/>
        <s v="[2.11128889999236]"/>
        <s v="[2.435047399994801]"/>
        <s v="[2.203507400001399]"/>
        <s v="[1.0567906000069343]"/>
        <s v="[2.5309589999960735]"/>
        <s v="[1.300138099992182]"/>
        <s v="[1.6481904999964172]"/>
        <s v="[1.5799173999985214]"/>
        <s v="[2.4873019000078784]"/>
        <s v="[1.4800824999983888]"/>
        <s v="[1.849875499989139]"/>
        <s v="[1.2493756000039866]"/>
        <s v="[1.8357664000068326]"/>
        <s v="[3.5716774000029545]"/>
        <s v="[3.3551128999970388]"/>
        <s v="[2.206535499994061]"/>
        <s v="[2.5579483000037726]"/>
        <s v="[1.685836200005724]"/>
        <s v="[3.2988096000044607]"/>
        <s v="[1.1074496999935945]"/>
        <s v="[1.4197210999991512]"/>
        <s v="[2.8506499999930384]"/>
        <s v="[1.8828910999873187]"/>
        <s v="[1.316898900011438]"/>
        <s v="[1.8354506000032416]"/>
        <s v="[2.8194160999992164]"/>
        <s v="[3.01538260000234]"/>
        <s v="[1.3435960000060732]"/>
        <s v="[1.085965700011002]"/>
        <s v="[1.9600966999860248]"/>
        <s v="[1.4503077999979723]"/>
        <s v="[1.616058300001896]"/>
        <s v="[1.39962270000251]"/>
        <s v="[1.929372799990233]"/>
        <s v="[1.774632600005134]"/>
        <s v="[2.273578499996802]"/>
        <s v="[1.565574899999774]"/>
        <s v="[1.750482400006149]"/>
        <s v="[1.8153309999906924]"/>
        <s v="[1.8508666999987327]"/>
        <s v="[2.504935100005241]"/>
        <s v="[1.5515241999964928]"/>
        <s v="[1.3736920999945141]"/>
        <s v="[1.570326400003978]"/>
        <s v="[2.204178600004525]"/>
        <s v="[2.537083100003656]"/>
        <s v="[2.3349821000010706]"/>
        <s v="[2.199251500001992]"/>
        <s v="[1.7325821999984328]"/>
        <s v="[1.7816787000047043]"/>
        <s v="[1.6696838999923784]"/>
        <s v="[2.5375949000008404]"/>
        <s v="[2.635115199998836]"/>
        <s v="[1.620995999997831]"/>
        <s v="[2.1941727999947034]"/>
        <s v="[1.8899104000010993]"/>
        <s v="[1.3472844999923836]"/>
        <s v="[2.52885210000386]"/>
        <s v="[1.6003383000061149]"/>
        <s v="[2.302172999989125]"/>
        <s v="[1.303032499999972]"/>
        <s v="[1.4655143999989377]"/>
        <s v="[1.6913800000038464]"/>
        <s v="[1.8042404000007082]"/>
        <s v="[2.1501656000036746]"/>
        <s v="[2.0689306999993278]"/>
        <s v="[3.2691814999998314]"/>
        <s v="[2.25018450000789]"/>
        <s v="[1.7636316000134684]"/>
        <s v="[2.350645700003952]"/>
        <s v="[2.7506607999966945]"/>
        <s v="[1.7895152999990387]"/>
        <s v="[3.461155700002564]"/>
        <s v="[3.986625699995784]"/>
        <s v="[1.5941626000130782]"/>
        <s v="[1.7222767999919597]"/>
        <s v="[2.5447758000082104]"/>
        <s v="[1.808537700009765]"/>
        <s v="[2.533510799999931]"/>
        <s v="[2.2824228999961633]"/>
        <s v="[1.3157667000050424]"/>
        <s v="[2.2299881000071764]"/>
        <s v="[1.3316352999972878]"/>
        <s v="[1.2520776000019396]"/>
        <s v="[1.6838572999986354]"/>
        <s v="[1.317937100000563]"/>
        <s v="[1.5497742000006838]"/>
        <s v="[1.2807948000117904]"/>
        <s v="[2.2160432000091532]"/>
        <s v="[2.0137840999959735]"/>
        <s v="[1.8344217999983812]"/>
        <s v="[1.6411003999965033]"/>
        <s v="[2.0212754999956815]"/>
        <s v="[2.7321017000067513]"/>
        <s v="[1.4655843000073219]"/>
        <s v="[2.869825600006152]"/>
        <s v="[3.7386650999978883]"/>
        <s v="[2.2609653000108665]"/>
        <s v="[1.4707775999995647]"/>
        <s v="[1.5166535999887856]"/>
        <s v="[2.357938200002536]"/>
        <s v="[1.7144826000003377]"/>
        <s v="[1.157374600006733]"/>
        <s v="[1.831056000009994]"/>
        <s v="[1.190963599990937]"/>
        <s v="[1.4477184999996098]"/>
        <s v="[1.8307281000015792]"/>
        <s v="[1.9306789999973262]"/>
        <s v="[1.5081123999989359]"/>
        <s v="[2.041835700001684]"/>
        <s v="[2.6141424999950686]"/>
        <s v="[1.9191944000049261]"/>
        <s v="[1.5713828999869293]"/>
        <s v="[1.4807815000094706]"/>
        <s v="[1.8801822000095854]"/>
        <s v="[2.3789311000000453]"/>
        <s v="[1.353241100005107]"/>
        <s v="[1.9290499999915482]"/>
        <s v="[1.1568292000010842]"/>
        <s v="[2.150460099990596]"/>
        <s v="[1.8502470000094036]"/>
        <s v="[2.600146600001608]"/>
        <s v="[2.841658899997128]"/>
        <s v="[2.588817099996959]"/>
        <s v="[2.460216199993738]"/>
        <s v="[1.5780573999945773]"/>
        <s v="[1.3571569000050658]"/>
        <s v="[2.06613879998622]"/>
        <s v="[2.8887206000072183]"/>
        <s v="[2.1623183000046993]"/>
        <s v="[2.5303882000007434]"/>
        <s v="[2.1985774999920977]"/>
        <s v="[1.7659577000013087]"/>
        <s v="[2.0163764000026276]"/>
        <s v="[1.6498214000021107]"/>
        <s v="[2.282181699993089]"/>
        <s v="[1.5817738999903668]"/>
        <s v="[0.9313234000001103]"/>
        <s v="[3.0417037999868626]"/>
        <s v="[1.7141128999937791]"/>
        <s v="[2.2191250000032596]"/>
        <s v="[2.1170827000023564]"/>
        <s v="[2.034154299995862]"/>
        <s v="[1.7983174000110012]"/>
        <s v="[1.418128000004799]"/>
        <s v="[1.6296285999997053]"/>
        <s v="[1.489239100003033]"/>
        <s v="[1.8634621999954106]"/>
        <s v="[1.2622572999971453]"/>
        <s v="[2.214861699991161]"/>
        <s v="[1.9645737999962876]"/>
        <s v="[1.924756399996113]"/>
        <s v="[1.9280044000042835]"/>
        <s v="[1.653549100010423]"/>
        <s v="[2.536293500001193]"/>
        <s v="[1.662035500005004]"/>
        <s v="[1.1811480000033043]"/>
        <s v="[1.6315009999962058]"/>
        <s v="[1.1812536000070395]"/>
        <s v="[1.5340768000023672]"/>
        <s v="[1.850408600002993]"/>
        <s v="[2.2707127000030596]"/>
        <s v="[2.069305600001826]"/>
        <s v="[1.2836735000018962]"/>
        <s v="[1.8317305999953533]"/>
        <s v="[0.9674064999999246]"/>
        <s v="[2.095481299998937]"/>
        <s v="[1.2374889999919105]"/>
        <s v="[1.245949300006032]"/>
        <s v="[1.2470430999965174]"/>
        <s v="[1.2485680999961914]"/>
        <s v="[2.017152200001874]"/>
        <s v="[2.1333668000006583]"/>
        <s v="[2.048978199993144]"/>
        <s v="[1.8487680999969598]"/>
        <s v="[1.6509548000030918]"/>
        <s v="[2.1618277999950806]"/>
        <s v="[2.001737900005537]"/>
        <s v="[1.8640221000096062]"/>
        <s v="[1.0984261999983573]"/>
        <s v="[1.9192719999991823]"/>
        <s v="[0.9678874999954132]"/>
        <s v="[1.3819176000106381]"/>
        <s v="[1.5904612000013003]"/>
        <s v="[2.208124900003895]"/>
        <s v="[1.904359399995883]"/>
        <s v="[1.8662464000080945]"/>
        <s v="[1.568819700012682]"/>
        <s v="[1.3860461999865947]"/>
        <s v="[2.4561879000102635]"/>
        <s v="[1.363410699996166]"/>
        <s v="[1.51379279998946]"/>
        <s v="[2.199814799998421]"/>
        <s v="[2.0993419000005815]"/>
        <s v="[1.5795021999947494]"/>
        <s v="[3.999257100003888]"/>
        <s v="[1.4120130999945104]"/>
        <s v="[6.15371289999166]"/>
        <s v="[1.5132426000054693]"/>
        <s v="[4.152572199993301]"/>
        <s v="[1.8969232000090415]"/>
        <s v="[2.531887300006929]"/>
        <s v="[3.707588899997063]"/>
        <s v="[1.7690225999976974]"/>
        <s v="[1.697507399992901]"/>
        <s v="[1.802569899999071]"/>
        <s v="[1.7682588000025135]"/>
        <s v="[2.086694500001613]"/>
        <s v="[2.1257417000015266]"/>
        <s v="[2.602386699989438]"/>
        <s v="[2.4531301999959396]"/>
        <s v="[1.7963961999921594]"/>
        <s v="[2.172636799994507]"/>
        <s v="[2.081243699998595]"/>
        <s v="[1.9704021999932593]"/>
        <s v="[3.236487500005751]"/>
        <s v="[2.779550499995821]"/>
        <s v="[1.899366799989366]"/>
        <s v="[1.4861952000064775]"/>
        <s v="[1.6102081999997608]"/>
        <s v="[2.0792363999935333]"/>
        <s v="[2.0336345999967307]"/>
        <s v="[1.9230098999978509]"/>
        <s v="[2.1178502999973716]"/>
        <s v="[2.3123013000003994]"/>
        <s v="[1.4616760999924736]"/>
        <s v="[1.6616531000036048]"/>
        <s v="[1.8006836999993538]"/>
        <s v="[1.059361399995396]"/>
        <s v="[2.540430999986711]"/>
        <s v="[1.3023985000036191]"/>
        <s v="[1.6326066000037827]"/>
        <s v="[1.4323825999890687]"/>
        <s v="[2.0978579000075115]"/>
        <s v="[1.3718077999947127]"/>
        <s v="[1.2832049999997253]"/>
        <s v="[1.895572399997036]"/>
        <s v="[1.7220687999943038]"/>
        <s v="[1.7875939000077778]"/>
        <s v="[2.6417354000004707]"/>
        <s v="[2.7561959000013303]"/>
        <s v="[2.505444800000987]"/>
        <s v="[1.90147799999977]"/>
        <s v="[2.2234758000122383]"/>
        <s v="[4.521615699995891]"/>
        <s v="[2.09548150000046]"/>
        <s v="[6.0499911999941105]"/>
        <s v="[7.952168000003439]"/>
        <s v="[1.498673800000688]"/>
        <s v="[4.844658300004085]"/>
        <s v="[1.811325200003921]"/>
        <s v="[2.317145499997423]"/>
        <s v="[1.643129099989892]"/>
        <s v="[1.7552538000018103]"/>
        <s v="[1.4398089999885997]"/>
        <s v="[2.2322445000027074]"/>
        <s v="[1.9865930000087246]"/>
        <s v="[3.295842799998354]"/>
        <s v="[2.382276999996975]"/>
        <s v="[1.7278622000012547]"/>
        <s v="[1.6339349000045331]"/>
        <s v="[1.4236055000073975]"/>
        <s v="[1.8791541000100551]"/>
        <s v="[1.6093280000059167]"/>
        <s v="[1.3735734000074444]"/>
        <s v="[1.629510400001891]"/>
        <s v="[1.3879473999986658]"/>
        <s v="[3.5116672000003746]"/>
        <s v="[1.9353846000012709]"/>
        <s v="[1.515743099997053]"/>
        <s v="[1.5657933999900706]"/>
        <s v="[1.8039333000051556]"/>
        <s v="[1.9027375000005122]"/>
        <s v="[2.167968199995812]"/>
        <s v="[1.2998697000002721]"/>
        <s v="[1.7298262999975123]"/>
        <s v="[1.5545065000042086]"/>
        <s v="[2.1623321999941254]"/>
        <s v="[2.600589800000307]"/>
        <s v="[2.3702144999988377]"/>
        <s v="[1.5248109999956796]"/>
        <s v="[1.4737497000023723]"/>
        <s v="[1.7171346999966772]"/>
        <s v="[1.557653099996969]"/>
        <s v="[1.7367579999990994]"/>
        <s v="[1.5996683000121266]"/>
        <s v="[1.8809518000052776]"/>
        <s v="[1.7315976000099909]"/>
        <s v="[1.495382499997504]"/>
        <s v="[1.3267562000110047]"/>
        <s v="[2.872698799998034]"/>
        <s v="[1.2431920999952126]"/>
        <s v="[1.284756799999741]"/>
        <s v="[1.7012000999966403]"/>
        <s v="[2.63096160000714]"/>
        <s v="[2.5654993999924045]"/>
        <s v="[1.3621214000013424]"/>
        <s v="[1.7042848999990383]"/>
        <s v="[1.8878177999868058]"/>
        <s v="[1.1944209000066621]"/>
        <s v="[1.5883532000007108]"/>
        <s v="[1.696087100004661]"/>
        <s v="[1.322333100004471]"/>
        <s v="[2.180591900003492]"/>
        <s v="[1.9845854000013787]"/>
        <s v="[0.9965809999994235]"/>
        <s v="[1.2740843999927165]"/>
        <s v="[1.3175470999995014]"/>
        <s v="[1.9779342000110773]"/>
        <s v="[1.4198430999967968]"/>
        <s v="[2.0478155999880983]"/>
        <s v="[2.2640792000020156]"/>
        <s v="[1.304794600000605]"/>
        <s v="[2.117546699999366]"/>
        <s v="[1.4183366000070237]"/>
        <s v="[1.586288099992089]"/>
        <s v="[1.6794294999999693]"/>
        <s v="[1.816269300004933]"/>
        <s v="[2.565478600008646]"/>
        <s v="[1.7014190999907441]"/>
        <s v="[2.480348699988099]"/>
        <s v="[2.0148608000017703]"/>
        <s v="[1.71471760001441]"/>
        <m/>
        <s v="[3.022747299997718]"/>
        <s v="[2.063180899989675]"/>
        <s v="[2.114926000009291]"/>
        <s v="[1.7857260999880964]"/>
        <s v="[1.730646500000148]"/>
        <s v="[1.266566199992667]"/>
        <s v="[1.5660161999985576]"/>
        <s v="[1.4333751999947708]"/>
        <s v="[1.6460673999972641]"/>
        <s v="[1.4400335999962408]"/>
        <s v="[1.6971569000015734]"/>
        <s v="[2.1766632000071695]"/>
        <s v="[1.2960569999995641]"/>
        <s v="[2.3309347000031266]"/>
        <s v="[1.74936180000077]"/>
        <s v="[1.3160656000109157]"/>
        <s v="[1.4335945000057109]"/>
        <s v="[2.525668299989775]"/>
        <s v="[1.8165205999976024]"/>
        <s v="[1.166268899993156]"/>
        <s v="[1.5475162000075215]"/>
        <s v="[2.2451428000058513]"/>
        <s v="[1.5633856999920681]"/>
        <s v="[1.2988158999942243]"/>
        <s v="[1.4941923000005772]"/>
        <s v="[1.301754099986283]"/>
        <s v="[2.5030165999924066]"/>
        <s v="[1.3847285999945598]"/>
        <s v="[3.0405166999989888]"/>
        <s v="[1.7186774000001606]"/>
        <s v="[1.5149024999991525]"/>
        <s v="[1.8879149999993388]"/>
        <s v="[1.6483575999882305]"/>
        <s v="[2.428120900003705]"/>
        <s v="[2.117918700008886]"/>
        <s v="[1.7338156000041636]"/>
        <s v="[2.0382921999989776]"/>
        <s v="[1.1567937999934657]"/>
        <s v="[1.5658343999966746]"/>
        <s v="[2.184953099989798]"/>
        <s v="[2.459828999999445]"/>
        <s v="[2.1164448999916203]"/>
        <s v="[1.7234121000074083]"/>
        <s v="[1.6491087000031257]"/>
        <s v="[2.397281400000793]"/>
        <s v="[1.2401263999927323]"/>
        <s v="[2.0385910000040894]"/>
        <s v="[1.414301400000113]"/>
        <s v="[2.67150079998828]"/>
        <s v="[1.3667065000045113]"/>
        <s v="[1.6349925000104122]"/>
        <s v="[2.6028980999981286]"/>
        <s v="[1.8626050000020768]"/>
        <s v="[2.853835000001709]"/>
        <s v="[1.0241153999959351]"/>
        <s v="[1.6893840999982785]"/>
        <s v="[1.4665979999990668]"/>
        <s v="[1.4992463000089629]"/>
        <s v="[1.8344710000092164]"/>
        <s v="[2.1979726999998093]"/>
        <s v="[2.2513624999992317]"/>
        <s v="[1.7940157999983057]"/>
        <s v="[1.8323056000081124]"/>
        <s v="[2.4479939000011655]"/>
        <s v="[1.4841324000008171]"/>
        <s v="[2.033182700004545]"/>
        <s v="[2.272398700006306]"/>
        <s v="[1.7477063999976963]"/>
        <s v="[1.453442800004268]"/>
        <s v="[1.9014527999970596]"/>
        <s v="[1.4436496999987867]"/>
        <s v="[1.5341326000052504]"/>
        <s v="[2.115373799999361]"/>
        <s v="[2.514944700000342]"/>
        <s v="[2.000083999999333]"/>
        <s v="[1.8906678000057582]"/>
        <s v="[2.29916090000188]"/>
        <s v="[1.4183125999988988]"/>
        <s v="[2.0482741000014357]"/>
        <s v="[1.0989333000034094]"/>
        <s v="[1.3009986000106437]"/>
        <s v="[1.9967329000064638]"/>
        <s v="[1.4187112000072375]"/>
        <s v="[2.6551363000035053]"/>
        <s v="[1.5705999999918276]"/>
        <s v="[1.2472973000112688]"/>
        <s v="[1.4639101999928243]"/>
        <s v="[1.2487327999988338]"/>
        <s v="[2.0026477000064915]"/>
        <s v="[1.6223923999932595]"/>
        <s v="[2.0846934000001056]"/>
        <s v="[1.0287359000067227]"/>
        <s v="[2.07426029999624]"/>
        <s v="[1.499467800007551]"/>
        <s v="[1.8362893000012264]"/>
        <s v="[2.7599940999934915]"/>
        <s v="[5.1376428000075975]"/>
        <s v="[1.3956605999992462]"/>
        <s v="[2.3578428000037093]"/>
        <s v="[1.8138136999914423]"/>
        <s v="[1.9757212999975309]"/>
        <s v="[1.583675600006245]"/>
        <s v="[3.214848900010111]"/>
        <s v="[1.9684446000028402]"/>
        <s v="[2.1153641999990214]"/>
        <s v="[1.7796769999986282]"/>
        <s v="[2.865981199996895]"/>
        <s v="[1.9570833000034327]"/>
        <s v="[2.1400143999926513]"/>
        <s v="[1.2296273000101792]"/>
        <s v="[2.9668813000025693]"/>
        <s v="[1.3538529999932507]"/>
        <s v="[1.8343886000075145]"/>
        <s v="[2.5982300999894505]"/>
        <s v="[2.260369499999797]"/>
        <s v="[2.162903300006292]"/>
        <s v="[1.3007566000014776]"/>
        <s v="[2.067309399993974]"/>
        <s v="[1.8307963000115706]"/>
        <s v="[2.0488651000050595]"/>
        <s v="[2.5177660000044852]"/>
        <s v="[2.1163795000029495]"/>
        <s v="[2.5506329000054393]"/>
        <s v="[1.9641425000008894]"/>
        <s v="[1.2671713999880012]"/>
        <s v="[1.606941399993957]"/>
        <s v="[1.6399356999900192]"/>
        <s v="[2.330082100001164]"/>
        <s v="[1.706751499994425]"/>
        <s v="[1.5333401000098092]"/>
        <s v="[2.4560448999982327]"/>
        <s v="[1.7290715999988606]"/>
        <s v="[1.9665337999904295]"/>
        <s v="[1.629543700008071]"/>
        <s v="[1.8839376000105403]"/>
        <s v="[2.363550900001428]"/>
        <s v="[1.9001255000039237]"/>
        <s v="[1.2973995999927865]"/>
        <s v="[1.1845725000021048]"/>
        <s v="[1.5044537999929162]"/>
        <s v="[1.4190871000027983]"/>
        <s v="[2.4999365999974543]"/>
        <s v="[1.9498046999942744]"/>
        <s v="[2.4624635000072885]"/>
        <s v="[1.78081939999538]"/>
        <s v="[1.8629995999945095]"/>
        <s v="[1.3702492000011262]"/>
        <s v="[1.7998869000002742]"/>
        <s v="[0.916349099992658]"/>
        <s v="[1.553027399990242]"/>
        <s v="[1.5393356999993557]"/>
        <s v="[2.1157040999969468]"/>
        <s v="[1.3060215000004973]"/>
        <s v="[2.937820200007991]"/>
        <s v="[2.380618399998639]"/>
        <s v="[1.4746525999944424]"/>
        <s v="[2.5846346999896923]"/>
        <s v="[2.3983379999990575]"/>
        <s v="[2.7005245000036666]"/>
        <s v="[2.282895099997404]"/>
        <s v="[2.279833900000085]"/>
        <s v="[1.8228982000000542]"/>
        <s v="[1.6326809000020148]"/>
        <s v="[1.54675490000227]"/>
        <s v="[1.5143950000056066]"/>
        <s v="[2.9920263000094565]"/>
        <s v="[2.33028270000068]"/>
        <s v="[1.9631488000013633]"/>
        <s v="[3.2135283000097843]"/>
        <s v="[1.4889251999993576]"/>
        <s v="[1.6172073999914574]"/>
        <s v="[1.480604600001243]"/>
        <s v="[2.4709332000056747]"/>
        <s v="[1.5742382000025827]"/>
        <s v="[1.643268799991347]"/>
        <s v="[1.6619181999994908]"/>
        <s v="[1.424943499994697]"/>
        <s v="[2.3872835999936797]"/>
        <s v="[1.801753199993982]"/>
        <s v="[2.1287863999896217]"/>
        <s v="[1.53325429999677]"/>
        <s v="[1.7439250000024913]"/>
        <s v="[2.6030640000099083]"/>
        <s v="[1.694475100011914]"/>
        <s v="[1.7784804000111762]"/>
        <s v="[1.4650247000099625]"/>
        <s v="[1.3668636000074912]"/>
        <s v="[3.0030626999941887]"/>
        <s v="[1.0769606999965617]"/>
        <s v="[1.9145789000031073]"/>
        <s v="[1.4342067999969004]"/>
        <s v="[1.515969899992342]"/>
        <s v="[1.5704484000016237]"/>
        <s v="[1.3337118999916129]"/>
        <s v="[1.536023299995577]"/>
        <s v="[1.5007960999937495]"/>
        <s v="[1.4996735000022454]"/>
        <s v="[2.4400451999972574]"/>
        <s v="[1.8232170999981463]"/>
        <s v="[1.5811067999893567]"/>
        <s v="[2.19807069998933]"/>
        <s v="[2.3908772000140743]"/>
        <s v="[2.816784700000426]"/>
        <s v="[2.2222885999944992]"/>
        <s v="[1.8642363999970257]"/>
        <s v="[1.9869476000021677]"/>
        <s v="[1.6651254000025801]"/>
        <s v="[1.320271699994919]"/>
        <s v="[2.0998999000003096]"/>
        <s v="[1.5959871999948518]"/>
        <s v="[1.3439941000106046]"/>
        <s v="[1.5504264000046533]"/>
        <s v="[1.8772504999942612]"/>
        <s v="[1.5988957999943523]"/>
        <s v="[1.749232000001939]"/>
        <s v="[1.6837151000072481]"/>
        <s v="[1.7294305999967037]"/>
        <s v="[2.0281296000030125]"/>
        <s v="[2.7544099999940954]"/>
        <s v="[1.8399443999951473]"/>
        <s v="[1.7613099000009242]"/>
        <s v="[2.215741699998034]"/>
        <s v="[1.8759718999936013]"/>
        <s v="[1.3875535999977728]"/>
        <s v="[2.55529899999965]"/>
        <s v="[1.9158528999978444]"/>
        <s v="[1.6017731000029016]"/>
        <s v="[2.543013599992264]"/>
        <s v="[1.549583200001507]"/>
        <s v="[2.0651536000077613]"/>
        <s v="[1.7157998000038788]"/>
        <s v="[1.8352741000126116]"/>
        <s v="[2.5072775000007823]"/>
        <s v="[2.233250700010103]"/>
        <s v="[2.0320263000030536]"/>
        <s v="[2.2500260999950115]"/>
        <s v="[1.7434480999945663]"/>
        <s v="[1.2182388999935938]"/>
        <s v="[1.672372599990922]"/>
        <s v="[2.1479200000030687]"/>
        <s v="[1.465990900003817]"/>
        <s v="[2.0196159000042826]"/>
        <s v="[1.4171477999916533]"/>
        <s v="[2.3648268999968423]"/>
        <s v="[1.6449753000051714]"/>
        <s v="[1.6336067000083858]"/>
        <s v="[2.481741499999771]"/>
        <s v="[1.5631286999996519]"/>
        <s v="[2.0573264000122435]"/>
        <s v="[2.850842500003637]"/>
        <s v="[1.6670152000006055]"/>
        <s v="[2.4702073999942513]"/>
        <s v="[1.7822057000012137]"/>
        <s v="[1.8219602999888593]"/>
        <s v="[1.7339432999870041]"/>
        <s v="[3.0135922000044957]"/>
        <s v="[1.6981241000030423]"/>
        <s v="[2.264609999998356]"/>
        <s v="[1.7326471999986097]"/>
        <s v="[2.124150399991777]"/>
        <s v="[5.86568050000642]"/>
        <s v="[1.8494301000027917]"/>
        <s v="[1.4842022999946494]"/>
        <s v="[2.083452799997758]"/>
        <s v="[2.6183002999896416]"/>
        <s v="[1.4711630000092555]"/>
        <s v="[3.0985908000002382]"/>
        <s v="[1.43616430000111]"/>
        <s v="[1.3804481999977725]"/>
        <s v="[1.469039799994789]"/>
        <s v="[1.5925938000000315]"/>
        <s v="[1.8030049000080908]"/>
        <s v="[1.8226353000063682]"/>
        <s v="[2.263606599997729]"/>
        <s v="[2.77987289999146]"/>
        <s v="[2.094963800002006]"/>
        <s v="[1.4951763999997638]"/>
        <s v="[2.0253387999982806]"/>
        <s v="[1.8430194999964442]"/>
        <s v="[1.7607073999970453]"/>
        <s v="[1.8133311999990838]"/>
        <s v="[1.8147500000050059]"/>
        <s v="[1.4495216000068467]"/>
        <s v="[1.6662466999987373]"/>
        <s v="[1.555676299991319]"/>
        <s v="[2.000871099997312]"/>
        <s v="[1.361628999991808]"/>
        <s v="[1.3769940000056522]"/>
        <s v="[1.5207835999899544]"/>
        <s v="[1.2129193000000669]"/>
        <s v="[1.3979672999994364]"/>
        <s v="[1.7534607999987202]"/>
        <s v="[1.9056933999963803]"/>
        <s v="[1.2098508000053698]"/>
        <s v="[1.752808700010064]"/>
        <s v="[1.735564999995404]"/>
        <s v="[2.6105275000008987]"/>
        <s v="[1.5163840000022901]"/>
        <s v="[1.4989312999969115]"/>
        <s v="[1.2948143999965396]"/>
        <s v="[1.0858768000034615]"/>
        <s v="[3.2405219999927795]"/>
        <s v="[2.1304957999964245]"/>
        <s v="[2.3012199999939185]"/>
        <s v="[2.053864600005909]"/>
        <s v="[2.123738599999342]"/>
        <s v="[1.7112828000099398]"/>
        <s v="[2.5817407999857096]"/>
        <s v="[1.6337955000053626]"/>
        <s v="[1.1637805999926059]"/>
        <s v="[1.6129072000039741]"/>
        <s v="[1.3786892000061926]"/>
        <s v="[1.3161847000010312]"/>
        <s v="[1.3767288999952143]"/>
        <s v="[1.481451500003459]"/>
        <s v="[1.3520837999967625]"/>
        <s v="[1.4602845999907004]"/>
        <s v="[2.0268839999916963]"/>
        <s v="[2.0573555000009947]"/>
        <s v="[1.9511084999976447]"/>
        <s v="[1.852660400007153]"/>
        <s v="[2.5317254999972647]"/>
        <s v="[1.581665999998222]"/>
        <s v="[1.7213119999942137]"/>
        <s v="[1.7991124999971362]"/>
        <s v="[1.3190638999949442]"/>
        <s v="[2.7811879999935627]"/>
        <s v="[1.2654610000026878]"/>
        <s v="[2.3755154000100447]"/>
        <s v="[1.607200099999318]"/>
        <s v="[1.0313448000088101]"/>
        <s v="[1.551136599999154]"/>
        <s v="[1.9829518999904394]"/>
        <s v="[1.5569080999994185]"/>
        <s v="[1.7646215999993728]"/>
        <s v="[1.3410771999915596]"/>
        <s v="[1.2260452999908011]"/>
        <s v="[1.5498328999965452]"/>
        <s v="[1.3078259000030812]"/>
        <s v="[2.7907295000040904]"/>
        <s v="[2.3928627999994205]"/>
        <s v="[2.0196048999932827]"/>
        <s v="[2.18203780001204]"/>
        <s v="[2.959302299990668]"/>
        <s v="[1.6742853000032483]"/>
        <s v="[2.4758285999996588]"/>
        <s v="[1.4925444000109565]"/>
        <s v="[1.6259219000057783]"/>
        <s v="[1.7234281999990344]"/>
        <s v="[1.3518840000033379]"/>
        <s v="[1.4560906999977306]"/>
        <s v="[2.261250600000494]"/>
        <s v="[2.1651792000047863]"/>
        <s v="[2.094224000000395]"/>
        <s v="[2.244347199986805]"/>
        <s v="[1.84602559999621]"/>
        <s v="[1.4826827999931993]"/>
        <s v="[1.9849541000003228]"/>
        <s v="[1.4400140999932773]"/>
        <s v="[1.4986289000080433]"/>
        <s v="[1.3807096000091406]"/>
        <s v="[1.198264199992991]"/>
        <s v="[1.9282978999981424]"/>
        <s v="[1.7264511000103084]"/>
        <s v="[2.055498300003819]"/>
        <s v="[1.397082399998908]"/>
        <s v="[1.7087620999955107]"/>
        <s v="[1.3726836999994703]"/>
        <s v="[1.6510892999940552]"/>
        <s v="[1.32058089999191]"/>
        <s v="[1.69240090000676]"/>
        <s v="[1.7085504999995464]"/>
        <s v="[2.976620899993577]"/>
        <s v="[1.402512900007423]"/>
        <s v="[2.7932245999982115]"/>
        <s v="[1.7971343000099296]"/>
        <s v="[2.3044684999913443]"/>
        <s v="[2.739748799998779]"/>
        <s v="[2.6096989999932703]"/>
        <s v="[1.5248373000067659]"/>
        <s v="[2.15594240000064]"/>
        <s v="[2.690410299997893]"/>
        <s v="[2.07134500000393]"/>
        <s v="[2.510380699997768]"/>
        <s v="[2.432577100000344]"/>
        <s v="[2.03182599999127]"/>
        <s v="[2.0418499000079464]"/>
        <s v="[1.7332093000004534]"/>
        <s v="[2.3337007999944035]"/>
        <s v="[0.9317280999966897]"/>
        <s v="[1.1252042000123765]"/>
        <s v="[1.3987830999976723]"/>
        <s v="[1.544926000002306]"/>
        <s v="[2.7571565999969607]"/>
        <s v="[0.994298899997375]"/>
        <s v="[1.5479425999947125]"/>
        <s v="[2.384121999988565]"/>
        <s v="[1.5572757000045385]"/>
        <s v="[2.239618599996902]"/>
        <s v="[1.732826900013606]"/>
        <s v="[1.5067421999992803]"/>
        <s v="[1.9175009000027785]"/>
        <s v="[1.7714434999943478]"/>
        <s v="[1.5835457999928622]"/>
        <s v="[1.8797479999921052]"/>
        <s v="[1.9213950999983354]"/>
        <s v="[1.2311123000108637]"/>
        <s v="[1.6866894999984652]"/>
        <s v="[1.916107800003374]"/>
        <s v="[1.5255189000017708]"/>
        <s v="[2.023194000008516]"/>
        <s v="[1.6034689999942202]"/>
        <s v="[2.240685400000075]"/>
        <s v="[1.848555499993381]"/>
        <s v="[3.2997361999878194]"/>
        <s v="[1.5056916999892564]"/>
        <s v="[1.2619999000016833]"/>
        <s v="[1.5232926000026055]"/>
        <s v="[2.014664999995148]"/>
        <s v="[1.9873949000029825]"/>
        <s v="[1.9876062999974238]"/>
        <s v="[2.803601300009177]"/>
        <s v="[1.2860285000060685]"/>
        <s v="[1.2200214000040432]"/>
        <s v="[1.6095108000008622]"/>
        <s v="[1.5192221000033896]"/>
        <s v="[1.6503888000006555]"/>
        <s v="[2.9079990000027465]"/>
        <s v="[1.9425430999981472]"/>
        <s v="[3.138106800004607]"/>
        <s v="[1.7973994000058156]"/>
        <s v="[1.8474271000013687]"/>
        <s v="[2.0186785999976564]"/>
        <s v="[1.3085719999944558]"/>
        <s v="[1.5518797999975504]"/>
        <s v="[1.18972070000018]"/>
        <s v="[2.228025999997044]"/>
        <s v="[1.3434347000002163]"/>
        <s v="[2.1995505999948364]"/>
        <s v="[1.7856516999891028]"/>
      </sharedItems>
    </cacheField>
    <cacheField name="mouse.clicked_name" numFmtId="0">
      <sharedItems containsBlank="1">
        <s v="['target']"/>
        <m/>
      </sharedItems>
    </cacheField>
    <cacheField name="num_distr" numFmtId="0">
      <sharedItems containsString="0" containsBlank="1" containsNumber="1" containsInteger="1">
        <n v="5.0"/>
        <n v="10.0"/>
        <m/>
      </sharedItems>
    </cacheField>
    <cacheField name="RT" numFmtId="0">
      <sharedItems containsString="0" containsBlank="1" containsNumber="1">
        <n v="1.7232354000007"/>
        <n v="3.22284560000116"/>
        <n v="3.05637830001069"/>
        <n v="3.46854469999379"/>
        <n v="5.49307300000509"/>
        <n v="2.05738840000412"/>
        <n v="2.48322079998615"/>
        <n v="2.14061010000295"/>
        <n v="1.51689020000048"/>
        <n v="1.99863709999772"/>
        <n v="1.0966674999945"/>
        <n v="1.96267699998861"/>
        <n v="3.16327650001039"/>
        <n v="1.91670519999752"/>
        <n v="1.70218010000826"/>
        <n v="1.86617170000681"/>
        <n v="3.11847919999854"/>
        <n v="1.96314500000153"/>
        <n v="1.84891590000188"/>
        <n v="1.6972769999993"/>
        <n v="2.33302540000295"/>
        <n v="1.78693030000431"/>
        <n v="1.48273829999379"/>
        <n v="1.54851499998767"/>
        <n v="1.42108710001048"/>
        <n v="1.66251900000497"/>
        <n v="1.04986420000204"/>
        <n v="1.61613229999784"/>
        <n v="1.53142869999283"/>
        <n v="1.567040000009"/>
        <n v="2.0216938000085"/>
        <n v="2.22433740000997"/>
        <n v="1.57306999999855"/>
        <n v="2.1199886000104"/>
        <n v="1.39049309999973"/>
        <n v="1.13575160001346"/>
        <n v="1.4418236999918"/>
        <n v="1.20661790001031"/>
        <n v="1.73175130000163"/>
        <n v="1.39500499999849"/>
        <n v="1.75118949999159"/>
        <n v="1.64912990000448"/>
        <n v="1.38200740001047"/>
        <n v="1.19676599999365"/>
        <n v="1.44666440000582"/>
        <n v="1.27487689998815"/>
        <n v="1.93376129999523"/>
        <n v="3.85589629999594"/>
        <n v="1.70163759999559"/>
        <n v="1.13317559999995"/>
        <n v="1.00409819999185"/>
        <n v="3.0589989"/>
        <n v="2.24820320001163"/>
        <n v="1.64358540000102"/>
        <n v="2.31835590000264"/>
        <n v="2.07210979999217"/>
        <n v="2.21763020000071"/>
        <n v="2.67367549998743"/>
        <n v="2.28130870001041"/>
        <n v="1.602069200002"/>
        <n v="1.78581370000028"/>
        <n v="1.40548549999948"/>
        <n v="2.11128889999236"/>
        <n v="2.4350473999948"/>
        <n v="2.20350740000139"/>
        <n v="1.05679060000693"/>
        <n v="2.53095899999607"/>
        <n v="1.30013809999218"/>
        <n v="1.64819049999641"/>
        <n v="1.57991739999852"/>
        <n v="2.48730190000787"/>
        <n v="1.48008249999838"/>
        <n v="1.84987549998913"/>
        <n v="1.24937560000398"/>
        <n v="1.83576640000683"/>
        <n v="3.57167740000295"/>
        <n v="3.35511289999703"/>
        <n v="2.20653549999406"/>
        <n v="2.55794830000377"/>
        <n v="1.68583620000572"/>
        <n v="3.29880960000446"/>
        <n v="1.10744969999359"/>
        <n v="1.41972109999915"/>
        <n v="2.85064999999303"/>
        <n v="1.88289109998731"/>
        <n v="1.31689890001143"/>
        <n v="1.83545060000324"/>
        <n v="2.81941609999921"/>
        <n v="3.01538260000234"/>
        <n v="1.34359600000607"/>
        <n v="1.085965700011"/>
        <n v="1.96009669998602"/>
        <n v="1.45030779999797"/>
        <n v="1.61605830000189"/>
        <n v="1.39962270000251"/>
        <n v="1.92937279999023"/>
        <n v="1.77463260000513"/>
        <n v="2.2735784999968"/>
        <n v="1.56557489999977"/>
        <n v="1.75048240000614"/>
        <n v="1.81533099999069"/>
        <n v="1.85086669999873"/>
        <n v="2.50493510000524"/>
        <n v="1.55152419999649"/>
        <n v="1.37369209999451"/>
        <n v="1.57032640000397"/>
        <n v="2.20417860000452"/>
        <n v="2.53708310000365"/>
        <n v="2.33498210000107"/>
        <n v="2.19925150000199"/>
        <n v="1.73258219999843"/>
        <n v="1.7816787000047"/>
        <n v="1.66968389999237"/>
        <n v="2.53759490000084"/>
        <n v="2.63511519999883"/>
        <n v="1.62099599999783"/>
        <n v="2.1941727999947"/>
        <n v="1.88991040000109"/>
        <n v="1.34728449999238"/>
        <n v="2.52885210000386"/>
        <n v="1.60033830000611"/>
        <n v="2.30217299998912"/>
        <n v="1.30303249999997"/>
        <n v="1.46551439999893"/>
        <n v="1.69138000000384"/>
        <n v="1.8042404000007"/>
        <n v="2.15016560000367"/>
        <n v="2.06893069999932"/>
        <n v="3.26918149999983"/>
        <n v="2.25018450000789"/>
        <n v="1.76363160001346"/>
        <n v="2.35064570000395"/>
        <n v="2.75066079999669"/>
        <n v="1.78951529999903"/>
        <n v="3.46115570000256"/>
        <n v="3.98662569999578"/>
        <n v="1.59416260001307"/>
        <n v="1.72227679999195"/>
        <n v="2.54477580000821"/>
        <n v="1.80853770000976"/>
        <n v="2.53351079999993"/>
        <n v="2.28242289999616"/>
        <n v="1.31576670000504"/>
        <n v="2.22998810000717"/>
        <n v="1.33163529999728"/>
        <n v="1.25207760000193"/>
        <n v="1.68385729999863"/>
        <n v="1.31793710000056"/>
        <n v="1.54977420000068"/>
        <n v="1.28079480001179"/>
        <n v="2.21604320000915"/>
        <n v="2.01378409999597"/>
        <n v="1.83442179999838"/>
        <n v="1.6411003999965"/>
        <n v="2.02127549999568"/>
        <n v="2.73210170000675"/>
        <n v="1.46558430000732"/>
        <n v="2.86982560000615"/>
        <n v="3.73866509999788"/>
        <n v="2.26096530001086"/>
        <n v="1.47077759999956"/>
        <n v="1.51665359998878"/>
        <n v="2.35793820000253"/>
        <n v="1.71448260000033"/>
        <n v="1.15737460000673"/>
        <n v="1.83105600000999"/>
        <n v="1.19096359999093"/>
        <n v="1.4477184999996"/>
        <n v="1.83072810000157"/>
        <n v="1.93067899999732"/>
        <n v="1.50811239999893"/>
        <n v="2.04183570000168"/>
        <n v="2.61414249999506"/>
        <n v="1.91919440000492"/>
        <n v="1.57138289998692"/>
        <n v="1.48078150000947"/>
        <n v="1.88018220000958"/>
        <n v="2.37893110000004"/>
        <n v="1.3532411000051"/>
        <n v="1.92904999999154"/>
        <n v="1.15682920000108"/>
        <n v="2.15046009999059"/>
        <n v="1.8502470000094"/>
        <n v="2.6001466000016"/>
        <n v="2.84165889999712"/>
        <n v="2.58881709999695"/>
        <n v="2.46021619999373"/>
        <n v="1.57805739999457"/>
        <n v="1.35715690000506"/>
        <n v="2.06613879998622"/>
        <n v="2.88872060000721"/>
        <n v="2.16231830000469"/>
        <n v="2.53038820000074"/>
        <n v="2.19857749999209"/>
        <n v="1.7659577000013"/>
        <n v="2.01637640000262"/>
        <n v="1.64982140000211"/>
        <n v="2.28218169999308"/>
        <n v="1.58177389999036"/>
        <n v="0.93132340000011"/>
        <n v="3.04170379998686"/>
        <n v="1.71411289999377"/>
        <n v="2.21912500000325"/>
        <n v="2.11708270000235"/>
        <n v="2.03415429999586"/>
        <n v="1.798317400011"/>
        <n v="1.41812800000479"/>
        <n v="1.6296285999997"/>
        <n v="1.48923910000303"/>
        <n v="1.86346219999541"/>
        <n v="1.26225729999714"/>
        <n v="2.21486169999116"/>
        <n v="1.96457379999628"/>
        <n v="1.92475639999611"/>
        <n v="1.92800440000428"/>
        <n v="1.65354910001042"/>
        <n v="2.53629350000119"/>
        <n v="1.662035500005"/>
        <n v="1.1811480000033"/>
        <n v="1.6315009999962"/>
        <n v="1.18125360000703"/>
        <n v="1.53407680000236"/>
        <n v="1.85040860000299"/>
        <n v="2.27071270000305"/>
        <n v="2.06930560000182"/>
        <n v="1.28367350000189"/>
        <n v="1.83173059999535"/>
        <n v="0.967406499999924"/>
        <n v="2.09548129999893"/>
        <n v="1.23748899999191"/>
        <n v="1.24594930000603"/>
        <n v="1.24704309999651"/>
        <n v="1.24856809999619"/>
        <n v="2.01715220000187"/>
        <n v="2.13336680000065"/>
        <n v="2.04897819999314"/>
        <n v="1.84876809999695"/>
        <n v="1.65095480000309"/>
        <n v="2.16182779999508"/>
        <n v="2.00173790000553"/>
        <n v="1.8640221000096"/>
        <n v="1.09842619999835"/>
        <n v="1.91927199999918"/>
        <n v="0.967887499995413"/>
        <n v="1.38191760001063"/>
        <n v="1.5904612000013"/>
        <n v="2.20812490000389"/>
        <n v="1.90435939999588"/>
        <n v="1.86624640000809"/>
        <n v="1.56881970001268"/>
        <n v="1.38604619998659"/>
        <n v="2.45618790001026"/>
        <n v="1.36341069999616"/>
        <n v="1.51379279998946"/>
        <n v="2.19981479999842"/>
        <n v="2.09934190000058"/>
        <n v="1.57950219999474"/>
        <n v="3.99925710000388"/>
        <n v="1.41201309999451"/>
        <n v="6.15371289999166"/>
        <n v="1.51324260000546"/>
        <n v="4.1525721999933"/>
        <n v="1.89692320000904"/>
        <n v="2.53188730000692"/>
        <n v="3.70758889999706"/>
        <n v="1.76902259999769"/>
        <n v="1.6975073999929"/>
        <n v="1.80256989999907"/>
        <n v="1.76825880000251"/>
        <n v="2.08669450000161"/>
        <n v="2.12574170000152"/>
        <n v="2.60238669998943"/>
        <n v="2.45313019999593"/>
        <n v="1.79639619999215"/>
        <n v="2.1726367999945"/>
        <n v="2.08124369999859"/>
        <n v="1.97040219999325"/>
        <n v="3.23648750000575"/>
        <n v="2.77955049999582"/>
        <n v="1.89936679998936"/>
        <n v="1.48619520000647"/>
        <n v="1.61020819999976"/>
        <n v="2.07923639999353"/>
        <n v="2.03363459999673"/>
        <n v="1.92300989999785"/>
        <n v="2.11785029999737"/>
        <n v="2.31230130000039"/>
        <n v="1.46167609999247"/>
        <n v="1.6616531000036"/>
        <n v="1.80068369999935"/>
        <n v="1.05936139999539"/>
        <n v="2.54043099998671"/>
        <n v="1.30239850000361"/>
        <n v="1.63260660000378"/>
        <n v="1.43238259998906"/>
        <n v="2.09785790000751"/>
        <n v="1.37180779999471"/>
        <n v="1.28320499999972"/>
        <n v="1.89557239999703"/>
        <n v="1.7220687999943"/>
        <n v="1.78759390000777"/>
        <n v="2.64173540000047"/>
        <n v="2.75619590000133"/>
        <n v="2.50544480000098"/>
        <n v="1.90147799999977"/>
        <n v="2.22347580001223"/>
        <n v="4.52161569999589"/>
        <n v="2.09548150000046"/>
        <n v="6.04999119999411"/>
        <n v="7.95216800000343"/>
        <n v="1.49867380000068"/>
        <n v="4.84465830000408"/>
        <n v="1.81132520000392"/>
        <n v="2.31714549999742"/>
        <n v="1.64312909998989"/>
        <n v="1.75525380000181"/>
        <n v="1.43980899998859"/>
        <n v="2.2322445000027"/>
        <n v="1.98659300000872"/>
        <n v="3.29584279999835"/>
        <n v="2.38227699999697"/>
        <n v="1.72786220000125"/>
        <n v="1.63393490000453"/>
        <n v="1.42360550000739"/>
        <n v="1.87915410001005"/>
        <n v="1.60932800000591"/>
        <n v="1.37357340000744"/>
        <n v="1.62951040000189"/>
        <n v="1.38794739999866"/>
        <n v="3.51166720000037"/>
        <n v="1.93538460000127"/>
        <n v="1.51574309999705"/>
        <n v="1.56579339999007"/>
        <n v="1.80393330000515"/>
        <n v="1.90273750000051"/>
        <n v="2.16796819999581"/>
        <n v="1.29986970000027"/>
        <n v="1.72982629999751"/>
        <n v="1.5545065000042"/>
        <n v="2.16233219999412"/>
        <n v="2.6005898000003"/>
        <n v="2.37021449999883"/>
        <n v="1.52481099999567"/>
        <n v="1.47374970000237"/>
        <n v="1.71713469999667"/>
        <n v="1.55765309999696"/>
        <n v="1.73675799999909"/>
        <n v="1.59966830001212"/>
        <n v="1.88095180000527"/>
        <n v="1.73159760000999"/>
        <n v="1.4953824999975"/>
        <n v="1.326756200011"/>
        <n v="2.87269879999803"/>
        <n v="1.24319209999521"/>
        <n v="1.28475679999974"/>
        <n v="1.70120009999664"/>
        <n v="2.63096160000714"/>
        <n v="2.5654993999924"/>
        <n v="1.36212140000134"/>
        <n v="1.70428489999903"/>
        <n v="1.8878177999868"/>
        <n v="1.19442090000666"/>
        <n v="1.58835320000071"/>
        <n v="1.69608710000466"/>
        <n v="1.32233310000447"/>
        <n v="2.18059190000349"/>
        <n v="1.98458540000137"/>
        <n v="0.996580999999423"/>
        <n v="1.27408439999271"/>
        <n v="1.3175470999995"/>
        <n v="1.97793420001107"/>
        <n v="1.41984309999679"/>
        <n v="2.04781559998809"/>
        <n v="2.26407920000201"/>
        <n v="1.3047946000006"/>
        <n v="2.11754669999936"/>
        <n v="1.41833660000702"/>
        <n v="1.58628809999208"/>
        <n v="1.67942949999996"/>
        <n v="1.81626930000493"/>
        <n v="2.56547860000864"/>
        <n v="1.70141909999074"/>
        <n v="2.48034869998809"/>
        <n v="2.01486080000177"/>
        <n v="1.71471760001441"/>
        <m/>
        <n v="3.02274729999771"/>
        <n v="2.06318089998967"/>
        <n v="2.11492600000929"/>
        <n v="1.78572609998809"/>
        <n v="1.73064650000014"/>
        <n v="1.26656619999266"/>
        <n v="1.56601619999855"/>
        <n v="1.43337519999477"/>
        <n v="1.64606739999726"/>
        <n v="1.44003359999624"/>
        <n v="1.69715690000157"/>
        <n v="2.17666320000716"/>
        <n v="1.29605699999956"/>
        <n v="2.33093470000312"/>
        <n v="1.74936180000077"/>
        <n v="1.31606560001091"/>
        <n v="1.43359450000571"/>
        <n v="2.52566829998977"/>
        <n v="1.8165205999976"/>
        <n v="1.16626889999315"/>
        <n v="1.54751620000752"/>
        <n v="2.24514280000585"/>
        <n v="1.56338569999206"/>
        <n v="1.29881589999422"/>
        <n v="1.49419230000057"/>
        <n v="1.30175409998628"/>
        <n v="2.5030165999924"/>
        <n v="1.38472859999455"/>
        <n v="3.04051669999898"/>
        <n v="1.71867740000016"/>
        <n v="1.51490249999915"/>
        <n v="1.88791499999933"/>
        <n v="1.64835759998823"/>
        <n v="2.4281209000037"/>
        <n v="2.11791870000888"/>
        <n v="1.73381560000416"/>
        <n v="2.03829219999897"/>
        <n v="1.15679379999346"/>
        <n v="1.56583439999667"/>
        <n v="2.18495309998979"/>
        <n v="2.45982899999944"/>
        <n v="2.11644489999162"/>
        <n v="1.7234121000074"/>
        <n v="1.64910870000312"/>
        <n v="2.39728140000079"/>
        <n v="1.24012639999273"/>
        <n v="2.03859100000408"/>
        <n v="1.41430140000011"/>
        <n v="2.67150079998828"/>
        <n v="1.36670650000451"/>
        <n v="1.63499250001041"/>
        <n v="2.60289809999812"/>
        <n v="1.86260500000207"/>
        <n v="2.8538350000017"/>
        <n v="1.02411539999593"/>
        <n v="1.68938409999827"/>
        <n v="1.46659799999906"/>
        <n v="1.49924630000896"/>
        <n v="1.83447100000921"/>
        <n v="2.1979726999998"/>
        <n v="2.25136249999923"/>
        <n v="1.7940157999983"/>
        <n v="1.83230560000811"/>
        <n v="2.44799390000116"/>
        <n v="1.48413240000081"/>
        <n v="2.03318270000454"/>
        <n v="2.2723987000063"/>
        <n v="1.74770639999769"/>
        <n v="1.45344280000426"/>
        <n v="1.90145279999705"/>
        <n v="1.44364969999878"/>
        <n v="1.53413260000525"/>
        <n v="2.11537379999936"/>
        <n v="2.51494470000034"/>
        <n v="2.00008399999933"/>
        <n v="1.89066780000575"/>
        <n v="2.29916090000188"/>
        <n v="1.41831259999889"/>
        <n v="2.04827410000143"/>
        <n v="1.0989333000034"/>
        <n v="1.30099860001064"/>
        <n v="1.99673290000646"/>
        <n v="1.41871120000723"/>
        <n v="2.6551363000035"/>
        <n v="1.57059999999182"/>
        <n v="1.24729730001126"/>
        <n v="1.46391019999282"/>
        <n v="1.24873279999883"/>
        <n v="2.00264770000649"/>
        <n v="1.62239239999325"/>
        <n v="2.0846934000001"/>
        <n v="1.02873590000672"/>
        <n v="2.07426029999624"/>
        <n v="1.49946780000755"/>
        <n v="1.83628930000122"/>
        <n v="2.75999409999349"/>
        <n v="5.13764280000759"/>
        <n v="1.39566059999924"/>
        <n v="2.3578428000037"/>
        <n v="1.81381369999144"/>
        <n v="1.97572129999753"/>
        <n v="1.58367560000624"/>
        <n v="3.21484890001011"/>
        <n v="1.96844460000284"/>
        <n v="2.11536419999902"/>
        <n v="1.77967699999862"/>
        <n v="2.86598119999689"/>
        <n v="1.95708330000343"/>
        <n v="2.14001439999265"/>
        <n v="1.22962730001017"/>
        <n v="2.96688130000256"/>
        <n v="1.35385299999325"/>
        <n v="1.83438860000751"/>
        <n v="2.59823009998945"/>
        <n v="2.26036949999979"/>
        <n v="2.16290330000629"/>
        <n v="1.30075660000147"/>
        <n v="2.06730939999397"/>
        <n v="1.83079630001157"/>
        <n v="2.04886510000505"/>
        <n v="2.51776600000448"/>
        <n v="2.11637950000294"/>
        <n v="2.55063290000543"/>
        <n v="1.96414250000088"/>
        <n v="1.267171399988"/>
        <n v="1.60694139999395"/>
        <n v="1.63993569999001"/>
        <n v="2.33008210000116"/>
        <n v="1.70675149999442"/>
        <n v="1.5333401000098"/>
        <n v="2.45604489999823"/>
        <n v="1.72907159999886"/>
        <n v="1.96653379999042"/>
        <n v="1.62954370000807"/>
        <n v="1.88393760001054"/>
        <n v="2.36355090000142"/>
        <n v="1.90012550000392"/>
        <n v="1.29739959999278"/>
        <n v="1.1845725000021"/>
        <n v="1.50445379999291"/>
        <n v="1.41908710000279"/>
        <n v="2.49993659999745"/>
        <n v="1.94980469999427"/>
        <n v="2.46246350000728"/>
        <n v="1.78081939999538"/>
        <n v="1.8629995999945"/>
        <n v="1.37024920000112"/>
        <n v="1.79988690000027"/>
        <n v="0.916349099992658"/>
        <n v="1.55302739999024"/>
        <n v="1.53933569999935"/>
        <n v="2.11570409999694"/>
        <n v="1.30602150000049"/>
        <n v="2.93782020000799"/>
        <n v="2.38061839999863"/>
        <n v="1.47465259999444"/>
        <n v="2.58463469998969"/>
        <n v="2.39833799999905"/>
        <n v="2.70052450000366"/>
        <n v="2.2828950999974"/>
        <n v="2.27983390000008"/>
        <n v="1.82289820000005"/>
        <n v="1.63268090000201"/>
        <n v="1.54675490000227"/>
        <n v="1.5143950000056"/>
        <n v="2.99202630000945"/>
        <n v="2.33028270000068"/>
        <n v="1.96314880000136"/>
        <n v="3.21352830000978"/>
        <n v="1.48892519999935"/>
        <n v="1.61720739999145"/>
        <n v="1.48060460000124"/>
        <n v="2.47093320000567"/>
        <n v="1.57423820000258"/>
        <n v="1.64326879999134"/>
        <n v="1.66191819999949"/>
        <n v="1.42494349999469"/>
        <n v="2.38728359999367"/>
        <n v="1.80175319999398"/>
        <n v="2.12878639998962"/>
        <n v="1.53325429999677"/>
        <n v="1.74392500000249"/>
        <n v="2.6030640000099"/>
        <n v="1.69447510001191"/>
        <n v="1.77848040001117"/>
        <n v="1.46502470000996"/>
        <n v="1.36686360000749"/>
        <n v="3.00306269999418"/>
        <n v="1.07696069999656"/>
        <n v="1.9145789000031"/>
        <n v="1.4342067999969"/>
        <n v="1.51596989999234"/>
        <n v="1.57044840000162"/>
        <n v="1.33371189999161"/>
        <n v="1.53602329999557"/>
        <n v="1.50079609999374"/>
        <n v="1.49967350000224"/>
        <n v="2.44004519999725"/>
        <n v="1.82321709999814"/>
        <n v="1.58110679998935"/>
        <n v="2.19807069998933"/>
        <n v="2.39087720001407"/>
        <n v="2.81678470000042"/>
        <n v="2.22228859999449"/>
        <n v="1.86423639999702"/>
        <n v="1.98694760000216"/>
        <n v="1.66512540000258"/>
        <n v="1.32027169999491"/>
        <n v="2.0998999000003"/>
        <n v="1.59598719999485"/>
        <n v="1.3439941000106"/>
        <n v="1.55042640000465"/>
        <n v="1.87725049999426"/>
        <n v="1.59889579999435"/>
        <n v="1.74923200000193"/>
        <n v="1.68371510000724"/>
        <n v="1.7294305999967"/>
        <n v="2.02812960000301"/>
        <n v="2.75440999999409"/>
        <n v="1.83994439999514"/>
        <n v="1.76130990000092"/>
        <n v="2.21574169999803"/>
        <n v="1.8759718999936"/>
        <n v="1.38755359999777"/>
        <n v="2.55529899999965"/>
        <n v="1.91585289999784"/>
        <n v="1.6017731000029"/>
        <n v="2.54301359999226"/>
        <n v="1.5495832000015"/>
        <n v="2.06515360000776"/>
        <n v="1.71579980000387"/>
        <n v="1.83527410001261"/>
        <n v="2.50727750000078"/>
        <n v="2.2332507000101"/>
        <n v="2.03202630000305"/>
        <n v="2.25002609999501"/>
        <n v="1.74344809999456"/>
        <n v="1.21823889999359"/>
        <n v="1.67237259999092"/>
        <n v="2.14792000000306"/>
        <n v="1.46599090000381"/>
        <n v="2.01961590000428"/>
        <n v="1.41714779999165"/>
        <n v="2.36482689999684"/>
        <n v="1.64497530000517"/>
        <n v="1.63360670000838"/>
        <n v="2.48174149999977"/>
        <n v="1.56312869999965"/>
        <n v="2.05732640001224"/>
        <n v="2.85084250000363"/>
        <n v="1.6670152000006"/>
        <n v="2.47020739999425"/>
        <n v="1.78220570000121"/>
        <n v="1.82196029998885"/>
        <n v="1.733943299987"/>
        <n v="3.01359220000449"/>
        <n v="1.69812410000304"/>
        <n v="2.26460999999835"/>
        <n v="1.7326471999986"/>
        <n v="2.12415039999177"/>
        <n v="5.86568050000642"/>
        <n v="1.84943010000279"/>
        <n v="1.48420229999464"/>
        <n v="2.08345279999775"/>
        <n v="2.61830029998964"/>
        <n v="1.47116300000925"/>
        <n v="3.09859080000023"/>
        <n v="1.43616430000111"/>
        <n v="1.38044819999777"/>
        <n v="1.46903979999478"/>
        <n v="1.59259380000003"/>
        <n v="1.80300490000809"/>
        <n v="1.82263530000636"/>
        <n v="2.26360659999772"/>
        <n v="2.77987289999146"/>
        <n v="2.094963800002"/>
        <n v="1.49517639999976"/>
        <n v="2.02533879999828"/>
        <n v="1.84301949999644"/>
        <n v="1.76070739999704"/>
        <n v="1.81333119999908"/>
        <n v="1.814750000005"/>
        <n v="1.44952160000684"/>
        <n v="1.66624669999873"/>
        <n v="1.55567629999131"/>
        <n v="2.00087109999731"/>
        <n v="1.3616289999918"/>
        <n v="1.37699400000565"/>
        <n v="1.52078359998995"/>
        <n v="1.21291930000006"/>
        <n v="1.39796729999943"/>
        <n v="1.75346079999872"/>
        <n v="1.90569339999638"/>
        <n v="1.20985080000536"/>
        <n v="1.75280870001006"/>
        <n v="1.7355649999954"/>
        <n v="2.61052750000089"/>
        <n v="1.51638400000229"/>
        <n v="1.49893129999691"/>
        <n v="1.29481439999653"/>
        <n v="1.08587680000346"/>
        <n v="3.24052199999277"/>
        <n v="2.13049579999642"/>
        <n v="2.30121999999391"/>
        <n v="2.0538646000059"/>
        <n v="2.12373859999934"/>
        <n v="1.71128280000993"/>
        <n v="2.5817407999857"/>
        <n v="1.63379550000536"/>
        <n v="1.1637805999926"/>
        <n v="1.61290720000397"/>
        <n v="1.37868920000619"/>
        <n v="1.31618470000103"/>
        <n v="1.37672889999521"/>
        <n v="1.48145150000345"/>
        <n v="1.35208379999676"/>
        <n v="1.4602845999907"/>
        <n v="2.02688399999169"/>
        <n v="2.05735550000099"/>
        <n v="1.95110849999764"/>
        <n v="1.85266040000715"/>
        <n v="2.53172549999726"/>
        <n v="1.58166599999822"/>
        <n v="1.72131199999421"/>
        <n v="1.79911249999713"/>
        <n v="1.31906389999494"/>
        <n v="2.78118799999356"/>
        <n v="1.26546100000268"/>
        <n v="2.37551540001004"/>
        <n v="1.60720009999931"/>
        <n v="1.03134480000881"/>
        <n v="1.55113659999915"/>
        <n v="1.98295189999043"/>
        <n v="1.55690809999941"/>
        <n v="1.76462159999937"/>
        <n v="1.34107719999155"/>
        <n v="1.2260452999908"/>
        <n v="1.54983289999654"/>
        <n v="1.30782590000308"/>
        <n v="2.79072950000409"/>
        <n v="2.39286279999942"/>
        <n v="2.01960489999328"/>
        <n v="2.18203780001204"/>
        <n v="2.95930229999066"/>
        <n v="1.67428530000324"/>
        <n v="2.47582859999965"/>
        <n v="1.49254440001095"/>
        <n v="1.62592190000577"/>
        <n v="1.72342819999903"/>
        <n v="1.35188400000333"/>
        <n v="1.45609069999773"/>
        <n v="2.26125060000049"/>
        <n v="2.16517920000478"/>
        <n v="2.09422400000039"/>
        <n v="2.2443471999868"/>
        <n v="1.84602559999621"/>
        <n v="1.48268279999319"/>
        <n v="1.98495410000032"/>
        <n v="1.44001409999327"/>
        <n v="1.49862890000804"/>
        <n v="1.38070960000914"/>
        <n v="1.19826419999299"/>
        <n v="1.92829789999814"/>
        <n v="1.7264511000103"/>
        <n v="2.05549830000381"/>
        <n v="1.3970823999989"/>
        <n v="1.70876209999551"/>
        <n v="1.37268369999947"/>
        <n v="1.65108929999405"/>
        <n v="1.32058089999191"/>
        <n v="1.69240090000676"/>
        <n v="1.70855049999954"/>
        <n v="2.97662089999357"/>
        <n v="1.40251290000742"/>
        <n v="2.79322459999821"/>
        <n v="1.79713430000992"/>
        <n v="2.30446849999134"/>
        <n v="2.73974879999877"/>
        <n v="2.60969899999327"/>
        <n v="1.52483730000676"/>
        <n v="2.15594240000064"/>
        <n v="2.69041029999789"/>
        <n v="2.07134500000393"/>
        <n v="2.51038069999776"/>
        <n v="2.43257710000034"/>
        <n v="2.03182599999127"/>
        <n v="2.04184990000794"/>
        <n v="1.73320930000045"/>
        <n v="2.3337007999944"/>
        <n v="0.931728099996689"/>
        <n v="1.12520420001237"/>
        <n v="1.39878309999767"/>
        <n v="1.5449260000023"/>
        <n v="2.75715659999696"/>
        <n v="0.994298899997375"/>
        <n v="1.54794259999471"/>
        <n v="2.38412199998856"/>
        <n v="1.55727570000453"/>
        <n v="2.2396185999969"/>
        <n v="1.7328269000136"/>
        <n v="1.50674219999928"/>
        <n v="1.91750090000277"/>
        <n v="1.77144349999434"/>
        <n v="1.58354579999286"/>
        <n v="1.8797479999921"/>
        <n v="1.92139509999833"/>
        <n v="1.23111230001086"/>
        <n v="1.68668949999846"/>
        <n v="1.91610780000337"/>
        <n v="1.52551890000177"/>
        <n v="2.02319400000851"/>
        <n v="1.60346899999422"/>
        <n v="2.24068540000007"/>
        <n v="1.84855549999338"/>
        <n v="3.29973619998781"/>
        <n v="1.50569169998925"/>
        <n v="1.26199990000168"/>
        <n v="1.5232926000026"/>
        <n v="2.01466499999514"/>
        <n v="1.98739490000298"/>
        <n v="1.98760629999742"/>
        <n v="2.80360130000917"/>
        <n v="1.28602850000606"/>
        <n v="1.22002140000404"/>
        <n v="1.60951080000086"/>
        <n v="1.51922210000338"/>
        <n v="1.65038880000065"/>
        <n v="2.90799900000274"/>
        <n v="1.94254309999814"/>
        <n v="3.1381068000046"/>
        <n v="1.79739940000581"/>
        <n v="1.84742710000136"/>
        <n v="2.01867859999765"/>
        <n v="1.30857199999445"/>
        <n v="1.55187979999755"/>
        <n v="1.18972070000018"/>
        <n v="2.22802599999704"/>
        <n v="1.34343470000021"/>
        <n v="2.19955059999483"/>
        <n v="1.785651699989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G5" firstHeaderRow="0" firstDataRow="1" firstDataCol="1"/>
  <pivotFields>
    <pivotField name="Participant" axis="axisCol" compact="0" outline="0" multipleItemSelectionAllowed="1" showAll="0" sortType="ascending">
      <items>
        <item x="3"/>
        <item x="0"/>
        <item x="1"/>
        <item x="2"/>
        <item x="4"/>
        <item x="5"/>
        <item t="default"/>
      </items>
    </pivotField>
    <pivotField name="this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mouse.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t="default"/>
      </items>
    </pivotField>
    <pivotField name="mouse.clicked_name" compact="0" outline="0" multipleItemSelectionAllowed="1" showAll="0">
      <items>
        <item x="0"/>
        <item x="1"/>
        <item t="default"/>
      </items>
    </pivotField>
    <pivotField name="num_distr" axis="axisRow" compact="0" outline="0" multipleItemSelectionAllowed="1" showAll="0" sortType="ascending">
      <items>
        <item h="1" x="2"/>
        <item x="0"/>
        <item x="1"/>
        <item t="default"/>
      </items>
    </pivotField>
    <pivotField name="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t="default"/>
      </items>
    </pivotField>
  </pivotFields>
  <rowFields>
    <field x="4"/>
  </rowFields>
  <colFields>
    <field x="0"/>
  </colFields>
  <dataFields>
    <dataField name="AVERAGE of RT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25.13"/>
    <col customWidth="1" min="4" max="4" width="25.63"/>
    <col customWidth="1" min="5" max="5" width="13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</row>
    <row r="2">
      <c r="A2" s="5" t="str">
        <f t="shared" ref="A2:A161" si="1"> "P1"</f>
        <v>P1</v>
      </c>
      <c r="B2" s="1">
        <v>0.0</v>
      </c>
      <c r="C2" s="2" t="s">
        <v>6</v>
      </c>
      <c r="D2" s="3" t="s">
        <v>7</v>
      </c>
      <c r="E2" s="6">
        <v>5.0</v>
      </c>
      <c r="F2" s="5">
        <f>IFERROR(__xludf.DUMMYFUNCTION("ARRAYFORMULA(IF(ROW(C2:C1824)=1,"""",IF(LEN(C2:C1824),VALUE(REGEXREPLACE(C2:C1824,""\[|\]"","""")),)))"),1.7232354000007)</f>
        <v>1.7232354</v>
      </c>
    </row>
    <row r="3">
      <c r="A3" s="5" t="str">
        <f t="shared" si="1"/>
        <v>P1</v>
      </c>
      <c r="B3" s="1">
        <v>1.0</v>
      </c>
      <c r="C3" s="2" t="s">
        <v>8</v>
      </c>
      <c r="D3" s="3" t="s">
        <v>7</v>
      </c>
      <c r="E3" s="6">
        <v>5.0</v>
      </c>
      <c r="F3" s="5">
        <f>IFERROR(__xludf.DUMMYFUNCTION("""COMPUTED_VALUE"""),3.22284560000116)</f>
        <v>3.2228456</v>
      </c>
    </row>
    <row r="4">
      <c r="A4" s="5" t="str">
        <f t="shared" si="1"/>
        <v>P1</v>
      </c>
      <c r="B4" s="1">
        <v>2.0</v>
      </c>
      <c r="C4" s="2" t="s">
        <v>9</v>
      </c>
      <c r="D4" s="3" t="s">
        <v>7</v>
      </c>
      <c r="E4" s="6">
        <v>5.0</v>
      </c>
      <c r="F4" s="5">
        <f>IFERROR(__xludf.DUMMYFUNCTION("""COMPUTED_VALUE"""),3.05637830001069)</f>
        <v>3.0563783</v>
      </c>
    </row>
    <row r="5">
      <c r="A5" s="5" t="str">
        <f t="shared" si="1"/>
        <v>P1</v>
      </c>
      <c r="B5" s="1">
        <v>4.0</v>
      </c>
      <c r="C5" s="2" t="s">
        <v>10</v>
      </c>
      <c r="D5" s="3" t="s">
        <v>7</v>
      </c>
      <c r="E5" s="6">
        <v>10.0</v>
      </c>
      <c r="F5" s="5">
        <f>IFERROR(__xludf.DUMMYFUNCTION("""COMPUTED_VALUE"""),3.46854469999379)</f>
        <v>3.4685447</v>
      </c>
    </row>
    <row r="6">
      <c r="A6" s="5" t="str">
        <f t="shared" si="1"/>
        <v>P1</v>
      </c>
      <c r="B6" s="1">
        <v>5.0</v>
      </c>
      <c r="C6" s="2" t="s">
        <v>11</v>
      </c>
      <c r="D6" s="3" t="s">
        <v>7</v>
      </c>
      <c r="E6" s="6">
        <v>10.0</v>
      </c>
      <c r="F6" s="5">
        <f>IFERROR(__xludf.DUMMYFUNCTION("""COMPUTED_VALUE"""),5.49307300000509)</f>
        <v>5.493073</v>
      </c>
    </row>
    <row r="7">
      <c r="A7" s="5" t="str">
        <f t="shared" si="1"/>
        <v>P1</v>
      </c>
      <c r="B7" s="1">
        <v>6.0</v>
      </c>
      <c r="C7" s="2" t="s">
        <v>12</v>
      </c>
      <c r="D7" s="3" t="s">
        <v>7</v>
      </c>
      <c r="E7" s="6">
        <v>10.0</v>
      </c>
      <c r="F7" s="5">
        <f>IFERROR(__xludf.DUMMYFUNCTION("""COMPUTED_VALUE"""),2.05738840000412)</f>
        <v>2.0573884</v>
      </c>
    </row>
    <row r="8">
      <c r="A8" s="5" t="str">
        <f t="shared" si="1"/>
        <v>P1</v>
      </c>
      <c r="B8" s="1">
        <v>8.0</v>
      </c>
      <c r="C8" s="2" t="s">
        <v>13</v>
      </c>
      <c r="D8" s="3" t="s">
        <v>7</v>
      </c>
      <c r="E8" s="6">
        <v>10.0</v>
      </c>
      <c r="F8" s="5">
        <f>IFERROR(__xludf.DUMMYFUNCTION("""COMPUTED_VALUE"""),2.48322079998615)</f>
        <v>2.4832208</v>
      </c>
    </row>
    <row r="9">
      <c r="A9" s="5" t="str">
        <f t="shared" si="1"/>
        <v>P1</v>
      </c>
      <c r="B9" s="1">
        <v>9.0</v>
      </c>
      <c r="C9" s="2" t="s">
        <v>14</v>
      </c>
      <c r="D9" s="3" t="s">
        <v>7</v>
      </c>
      <c r="E9" s="6">
        <v>5.0</v>
      </c>
      <c r="F9" s="5">
        <f>IFERROR(__xludf.DUMMYFUNCTION("""COMPUTED_VALUE"""),2.14061010000295)</f>
        <v>2.1406101</v>
      </c>
    </row>
    <row r="10">
      <c r="A10" s="5" t="str">
        <f t="shared" si="1"/>
        <v>P1</v>
      </c>
      <c r="B10" s="1">
        <v>10.0</v>
      </c>
      <c r="C10" s="2" t="s">
        <v>15</v>
      </c>
      <c r="D10" s="3" t="s">
        <v>7</v>
      </c>
      <c r="E10" s="6">
        <v>10.0</v>
      </c>
      <c r="F10" s="5">
        <f>IFERROR(__xludf.DUMMYFUNCTION("""COMPUTED_VALUE"""),1.51689020000048)</f>
        <v>1.5168902</v>
      </c>
    </row>
    <row r="11">
      <c r="A11" s="5" t="str">
        <f t="shared" si="1"/>
        <v>P1</v>
      </c>
      <c r="B11" s="1">
        <v>13.0</v>
      </c>
      <c r="C11" s="2" t="s">
        <v>16</v>
      </c>
      <c r="D11" s="3" t="s">
        <v>7</v>
      </c>
      <c r="E11" s="6">
        <v>5.0</v>
      </c>
      <c r="F11" s="5">
        <f>IFERROR(__xludf.DUMMYFUNCTION("""COMPUTED_VALUE"""),1.99863709999772)</f>
        <v>1.9986371</v>
      </c>
    </row>
    <row r="12">
      <c r="A12" s="5" t="str">
        <f t="shared" si="1"/>
        <v>P1</v>
      </c>
      <c r="B12" s="1">
        <v>14.0</v>
      </c>
      <c r="C12" s="2" t="s">
        <v>17</v>
      </c>
      <c r="D12" s="3" t="s">
        <v>7</v>
      </c>
      <c r="E12" s="6">
        <v>5.0</v>
      </c>
      <c r="F12" s="5">
        <f>IFERROR(__xludf.DUMMYFUNCTION("""COMPUTED_VALUE"""),1.0966674999945)</f>
        <v>1.0966675</v>
      </c>
    </row>
    <row r="13">
      <c r="A13" s="5" t="str">
        <f t="shared" si="1"/>
        <v>P1</v>
      </c>
      <c r="B13" s="1">
        <v>15.0</v>
      </c>
      <c r="C13" s="2" t="s">
        <v>18</v>
      </c>
      <c r="D13" s="3" t="s">
        <v>7</v>
      </c>
      <c r="E13" s="6">
        <v>10.0</v>
      </c>
      <c r="F13" s="5">
        <f>IFERROR(__xludf.DUMMYFUNCTION("""COMPUTED_VALUE"""),1.96267699998861)</f>
        <v>1.962677</v>
      </c>
    </row>
    <row r="14">
      <c r="A14" s="5" t="str">
        <f t="shared" si="1"/>
        <v>P1</v>
      </c>
      <c r="B14" s="1">
        <v>17.0</v>
      </c>
      <c r="C14" s="2" t="s">
        <v>19</v>
      </c>
      <c r="D14" s="3" t="s">
        <v>7</v>
      </c>
      <c r="E14" s="6">
        <v>10.0</v>
      </c>
      <c r="F14" s="5">
        <f>IFERROR(__xludf.DUMMYFUNCTION("""COMPUTED_VALUE"""),3.16327650001039)</f>
        <v>3.1632765</v>
      </c>
    </row>
    <row r="15">
      <c r="A15" s="5" t="str">
        <f t="shared" si="1"/>
        <v>P1</v>
      </c>
      <c r="B15" s="1">
        <v>18.0</v>
      </c>
      <c r="C15" s="2" t="s">
        <v>20</v>
      </c>
      <c r="D15" s="3" t="s">
        <v>7</v>
      </c>
      <c r="E15" s="6">
        <v>10.0</v>
      </c>
      <c r="F15" s="5">
        <f>IFERROR(__xludf.DUMMYFUNCTION("""COMPUTED_VALUE"""),1.91670519999752)</f>
        <v>1.9167052</v>
      </c>
    </row>
    <row r="16">
      <c r="A16" s="5" t="str">
        <f t="shared" si="1"/>
        <v>P1</v>
      </c>
      <c r="B16" s="1">
        <v>19.0</v>
      </c>
      <c r="C16" s="2" t="s">
        <v>21</v>
      </c>
      <c r="D16" s="3" t="s">
        <v>7</v>
      </c>
      <c r="E16" s="6">
        <v>10.0</v>
      </c>
      <c r="F16" s="5">
        <f>IFERROR(__xludf.DUMMYFUNCTION("""COMPUTED_VALUE"""),1.70218010000826)</f>
        <v>1.7021801</v>
      </c>
    </row>
    <row r="17">
      <c r="A17" s="5" t="str">
        <f t="shared" si="1"/>
        <v>P1</v>
      </c>
      <c r="B17" s="1">
        <v>20.0</v>
      </c>
      <c r="C17" s="2" t="s">
        <v>22</v>
      </c>
      <c r="D17" s="3" t="s">
        <v>7</v>
      </c>
      <c r="E17" s="6">
        <v>5.0</v>
      </c>
      <c r="F17" s="5">
        <f>IFERROR(__xludf.DUMMYFUNCTION("""COMPUTED_VALUE"""),1.86617170000681)</f>
        <v>1.8661717</v>
      </c>
    </row>
    <row r="18">
      <c r="A18" s="5" t="str">
        <f t="shared" si="1"/>
        <v>P1</v>
      </c>
      <c r="B18" s="1">
        <v>21.0</v>
      </c>
      <c r="C18" s="2" t="s">
        <v>23</v>
      </c>
      <c r="D18" s="3" t="s">
        <v>7</v>
      </c>
      <c r="E18" s="6">
        <v>10.0</v>
      </c>
      <c r="F18" s="5">
        <f>IFERROR(__xludf.DUMMYFUNCTION("""COMPUTED_VALUE"""),3.11847919999854)</f>
        <v>3.1184792</v>
      </c>
    </row>
    <row r="19">
      <c r="A19" s="5" t="str">
        <f t="shared" si="1"/>
        <v>P1</v>
      </c>
      <c r="B19" s="1">
        <v>22.0</v>
      </c>
      <c r="C19" s="2" t="s">
        <v>24</v>
      </c>
      <c r="D19" s="3" t="s">
        <v>7</v>
      </c>
      <c r="E19" s="6">
        <v>5.0</v>
      </c>
      <c r="F19" s="5">
        <f>IFERROR(__xludf.DUMMYFUNCTION("""COMPUTED_VALUE"""),1.96314500000153)</f>
        <v>1.963145</v>
      </c>
    </row>
    <row r="20">
      <c r="A20" s="5" t="str">
        <f t="shared" si="1"/>
        <v>P1</v>
      </c>
      <c r="B20" s="1">
        <v>25.0</v>
      </c>
      <c r="C20" s="2" t="s">
        <v>25</v>
      </c>
      <c r="D20" s="3" t="s">
        <v>7</v>
      </c>
      <c r="E20" s="6">
        <v>5.0</v>
      </c>
      <c r="F20" s="5">
        <f>IFERROR(__xludf.DUMMYFUNCTION("""COMPUTED_VALUE"""),1.84891590000188)</f>
        <v>1.8489159</v>
      </c>
    </row>
    <row r="21">
      <c r="A21" s="5" t="str">
        <f t="shared" si="1"/>
        <v>P1</v>
      </c>
      <c r="B21" s="1">
        <v>26.0</v>
      </c>
      <c r="C21" s="2" t="s">
        <v>26</v>
      </c>
      <c r="D21" s="3" t="s">
        <v>7</v>
      </c>
      <c r="E21" s="6">
        <v>5.0</v>
      </c>
      <c r="F21" s="5">
        <f>IFERROR(__xludf.DUMMYFUNCTION("""COMPUTED_VALUE"""),1.6972769999993)</f>
        <v>1.697277</v>
      </c>
    </row>
    <row r="22">
      <c r="A22" s="5" t="str">
        <f t="shared" si="1"/>
        <v>P1</v>
      </c>
      <c r="B22" s="1">
        <v>27.0</v>
      </c>
      <c r="C22" s="2" t="s">
        <v>27</v>
      </c>
      <c r="D22" s="3" t="s">
        <v>7</v>
      </c>
      <c r="E22" s="6">
        <v>5.0</v>
      </c>
      <c r="F22" s="5">
        <f>IFERROR(__xludf.DUMMYFUNCTION("""COMPUTED_VALUE"""),2.33302540000295)</f>
        <v>2.3330254</v>
      </c>
    </row>
    <row r="23">
      <c r="A23" s="5" t="str">
        <f t="shared" si="1"/>
        <v>P1</v>
      </c>
      <c r="B23" s="1">
        <v>28.0</v>
      </c>
      <c r="C23" s="2" t="s">
        <v>28</v>
      </c>
      <c r="D23" s="3" t="s">
        <v>7</v>
      </c>
      <c r="E23" s="6">
        <v>10.0</v>
      </c>
      <c r="F23" s="5">
        <f>IFERROR(__xludf.DUMMYFUNCTION("""COMPUTED_VALUE"""),1.78693030000431)</f>
        <v>1.7869303</v>
      </c>
    </row>
    <row r="24">
      <c r="A24" s="5" t="str">
        <f t="shared" si="1"/>
        <v>P1</v>
      </c>
      <c r="B24" s="1">
        <v>29.0</v>
      </c>
      <c r="C24" s="2" t="s">
        <v>29</v>
      </c>
      <c r="D24" s="3" t="s">
        <v>7</v>
      </c>
      <c r="E24" s="6">
        <v>5.0</v>
      </c>
      <c r="F24" s="5">
        <f>IFERROR(__xludf.DUMMYFUNCTION("""COMPUTED_VALUE"""),1.48273829999379)</f>
        <v>1.4827383</v>
      </c>
    </row>
    <row r="25">
      <c r="A25" s="5" t="str">
        <f t="shared" si="1"/>
        <v>P1</v>
      </c>
      <c r="B25" s="1">
        <v>30.0</v>
      </c>
      <c r="C25" s="2" t="s">
        <v>30</v>
      </c>
      <c r="D25" s="3" t="s">
        <v>7</v>
      </c>
      <c r="E25" s="6">
        <v>5.0</v>
      </c>
      <c r="F25" s="5">
        <f>IFERROR(__xludf.DUMMYFUNCTION("""COMPUTED_VALUE"""),1.54851499998767)</f>
        <v>1.548515</v>
      </c>
    </row>
    <row r="26">
      <c r="A26" s="5" t="str">
        <f t="shared" si="1"/>
        <v>P1</v>
      </c>
      <c r="B26" s="1">
        <v>31.0</v>
      </c>
      <c r="C26" s="2" t="s">
        <v>31</v>
      </c>
      <c r="D26" s="3" t="s">
        <v>7</v>
      </c>
      <c r="E26" s="6">
        <v>10.0</v>
      </c>
      <c r="F26" s="5">
        <f>IFERROR(__xludf.DUMMYFUNCTION("""COMPUTED_VALUE"""),1.42108710001048)</f>
        <v>1.4210871</v>
      </c>
    </row>
    <row r="27">
      <c r="A27" s="5" t="str">
        <f t="shared" si="1"/>
        <v>P1</v>
      </c>
      <c r="B27" s="1">
        <v>32.0</v>
      </c>
      <c r="C27" s="2" t="s">
        <v>32</v>
      </c>
      <c r="D27" s="3" t="s">
        <v>7</v>
      </c>
      <c r="E27" s="6">
        <v>5.0</v>
      </c>
      <c r="F27" s="5">
        <f>IFERROR(__xludf.DUMMYFUNCTION("""COMPUTED_VALUE"""),1.66251900000497)</f>
        <v>1.662519</v>
      </c>
    </row>
    <row r="28">
      <c r="A28" s="5" t="str">
        <f t="shared" si="1"/>
        <v>P1</v>
      </c>
      <c r="B28" s="1">
        <v>33.0</v>
      </c>
      <c r="C28" s="2" t="s">
        <v>33</v>
      </c>
      <c r="D28" s="3" t="s">
        <v>7</v>
      </c>
      <c r="E28" s="6">
        <v>10.0</v>
      </c>
      <c r="F28" s="5">
        <f>IFERROR(__xludf.DUMMYFUNCTION("""COMPUTED_VALUE"""),1.04986420000204)</f>
        <v>1.0498642</v>
      </c>
    </row>
    <row r="29">
      <c r="A29" s="5" t="str">
        <f t="shared" si="1"/>
        <v>P1</v>
      </c>
      <c r="B29" s="1">
        <v>34.0</v>
      </c>
      <c r="C29" s="2" t="s">
        <v>34</v>
      </c>
      <c r="D29" s="3" t="s">
        <v>7</v>
      </c>
      <c r="E29" s="6">
        <v>5.0</v>
      </c>
      <c r="F29" s="5">
        <f>IFERROR(__xludf.DUMMYFUNCTION("""COMPUTED_VALUE"""),1.61613229999784)</f>
        <v>1.6161323</v>
      </c>
    </row>
    <row r="30">
      <c r="A30" s="5" t="str">
        <f t="shared" si="1"/>
        <v>P1</v>
      </c>
      <c r="B30" s="1">
        <v>35.0</v>
      </c>
      <c r="C30" s="2" t="s">
        <v>35</v>
      </c>
      <c r="D30" s="3" t="s">
        <v>7</v>
      </c>
      <c r="E30" s="6">
        <v>5.0</v>
      </c>
      <c r="F30" s="5">
        <f>IFERROR(__xludf.DUMMYFUNCTION("""COMPUTED_VALUE"""),1.53142869999283)</f>
        <v>1.5314287</v>
      </c>
    </row>
    <row r="31">
      <c r="A31" s="5" t="str">
        <f t="shared" si="1"/>
        <v>P1</v>
      </c>
      <c r="B31" s="1">
        <v>36.0</v>
      </c>
      <c r="C31" s="2" t="s">
        <v>36</v>
      </c>
      <c r="D31" s="3" t="s">
        <v>7</v>
      </c>
      <c r="E31" s="6">
        <v>10.0</v>
      </c>
      <c r="F31" s="5">
        <f>IFERROR(__xludf.DUMMYFUNCTION("""COMPUTED_VALUE"""),1.567040000009)</f>
        <v>1.56704</v>
      </c>
    </row>
    <row r="32">
      <c r="A32" s="5" t="str">
        <f t="shared" si="1"/>
        <v>P1</v>
      </c>
      <c r="B32" s="1">
        <v>37.0</v>
      </c>
      <c r="C32" s="2" t="s">
        <v>37</v>
      </c>
      <c r="D32" s="3" t="s">
        <v>7</v>
      </c>
      <c r="E32" s="6">
        <v>5.0</v>
      </c>
      <c r="F32" s="5">
        <f>IFERROR(__xludf.DUMMYFUNCTION("""COMPUTED_VALUE"""),2.0216938000085)</f>
        <v>2.0216938</v>
      </c>
    </row>
    <row r="33">
      <c r="A33" s="5" t="str">
        <f t="shared" si="1"/>
        <v>P1</v>
      </c>
      <c r="B33" s="1">
        <v>38.0</v>
      </c>
      <c r="C33" s="2" t="s">
        <v>38</v>
      </c>
      <c r="D33" s="3" t="s">
        <v>7</v>
      </c>
      <c r="E33" s="6">
        <v>10.0</v>
      </c>
      <c r="F33" s="5">
        <f>IFERROR(__xludf.DUMMYFUNCTION("""COMPUTED_VALUE"""),2.22433740000997)</f>
        <v>2.2243374</v>
      </c>
    </row>
    <row r="34">
      <c r="A34" s="5" t="str">
        <f t="shared" si="1"/>
        <v>P1</v>
      </c>
      <c r="B34" s="1">
        <v>40.0</v>
      </c>
      <c r="C34" s="2" t="s">
        <v>39</v>
      </c>
      <c r="D34" s="3" t="s">
        <v>7</v>
      </c>
      <c r="E34" s="6">
        <v>10.0</v>
      </c>
      <c r="F34" s="5">
        <f>IFERROR(__xludf.DUMMYFUNCTION("""COMPUTED_VALUE"""),1.57306999999855)</f>
        <v>1.57307</v>
      </c>
    </row>
    <row r="35">
      <c r="A35" s="5" t="str">
        <f t="shared" si="1"/>
        <v>P1</v>
      </c>
      <c r="B35" s="1">
        <v>41.0</v>
      </c>
      <c r="C35" s="2" t="s">
        <v>40</v>
      </c>
      <c r="D35" s="3" t="s">
        <v>7</v>
      </c>
      <c r="E35" s="6">
        <v>10.0</v>
      </c>
      <c r="F35" s="5">
        <f>IFERROR(__xludf.DUMMYFUNCTION("""COMPUTED_VALUE"""),2.1199886000104)</f>
        <v>2.1199886</v>
      </c>
    </row>
    <row r="36">
      <c r="A36" s="5" t="str">
        <f t="shared" si="1"/>
        <v>P1</v>
      </c>
      <c r="B36" s="1">
        <v>42.0</v>
      </c>
      <c r="C36" s="2" t="s">
        <v>41</v>
      </c>
      <c r="D36" s="3" t="s">
        <v>7</v>
      </c>
      <c r="E36" s="6">
        <v>10.0</v>
      </c>
      <c r="F36" s="5">
        <f>IFERROR(__xludf.DUMMYFUNCTION("""COMPUTED_VALUE"""),1.39049309999973)</f>
        <v>1.3904931</v>
      </c>
    </row>
    <row r="37">
      <c r="A37" s="5" t="str">
        <f t="shared" si="1"/>
        <v>P1</v>
      </c>
      <c r="B37" s="1">
        <v>44.0</v>
      </c>
      <c r="C37" s="2" t="s">
        <v>42</v>
      </c>
      <c r="D37" s="3" t="s">
        <v>7</v>
      </c>
      <c r="E37" s="6">
        <v>10.0</v>
      </c>
      <c r="F37" s="5">
        <f>IFERROR(__xludf.DUMMYFUNCTION("""COMPUTED_VALUE"""),1.13575160001346)</f>
        <v>1.1357516</v>
      </c>
    </row>
    <row r="38">
      <c r="A38" s="5" t="str">
        <f t="shared" si="1"/>
        <v>P1</v>
      </c>
      <c r="B38" s="1">
        <v>45.0</v>
      </c>
      <c r="C38" s="2" t="s">
        <v>43</v>
      </c>
      <c r="D38" s="3" t="s">
        <v>7</v>
      </c>
      <c r="E38" s="6">
        <v>10.0</v>
      </c>
      <c r="F38" s="5">
        <f>IFERROR(__xludf.DUMMYFUNCTION("""COMPUTED_VALUE"""),1.4418236999918)</f>
        <v>1.4418237</v>
      </c>
    </row>
    <row r="39">
      <c r="A39" s="5" t="str">
        <f t="shared" si="1"/>
        <v>P1</v>
      </c>
      <c r="B39" s="1">
        <v>47.0</v>
      </c>
      <c r="C39" s="2" t="s">
        <v>44</v>
      </c>
      <c r="D39" s="3" t="s">
        <v>7</v>
      </c>
      <c r="E39" s="6">
        <v>10.0</v>
      </c>
      <c r="F39" s="5">
        <f>IFERROR(__xludf.DUMMYFUNCTION("""COMPUTED_VALUE"""),1.20661790001031)</f>
        <v>1.2066179</v>
      </c>
    </row>
    <row r="40">
      <c r="A40" s="5" t="str">
        <f t="shared" si="1"/>
        <v>P1</v>
      </c>
      <c r="B40" s="1">
        <v>48.0</v>
      </c>
      <c r="C40" s="2" t="s">
        <v>45</v>
      </c>
      <c r="D40" s="3" t="s">
        <v>7</v>
      </c>
      <c r="E40" s="6">
        <v>5.0</v>
      </c>
      <c r="F40" s="5">
        <f>IFERROR(__xludf.DUMMYFUNCTION("""COMPUTED_VALUE"""),1.73175130000163)</f>
        <v>1.7317513</v>
      </c>
    </row>
    <row r="41">
      <c r="A41" s="5" t="str">
        <f t="shared" si="1"/>
        <v>P1</v>
      </c>
      <c r="B41" s="1">
        <v>50.0</v>
      </c>
      <c r="C41" s="2" t="s">
        <v>46</v>
      </c>
      <c r="D41" s="3" t="s">
        <v>7</v>
      </c>
      <c r="E41" s="6">
        <v>5.0</v>
      </c>
      <c r="F41" s="5">
        <f>IFERROR(__xludf.DUMMYFUNCTION("""COMPUTED_VALUE"""),1.39500499999849)</f>
        <v>1.395005</v>
      </c>
    </row>
    <row r="42">
      <c r="A42" s="5" t="str">
        <f t="shared" si="1"/>
        <v>P1</v>
      </c>
      <c r="B42" s="1">
        <v>51.0</v>
      </c>
      <c r="C42" s="2" t="s">
        <v>47</v>
      </c>
      <c r="D42" s="3" t="s">
        <v>7</v>
      </c>
      <c r="E42" s="6">
        <v>10.0</v>
      </c>
      <c r="F42" s="5">
        <f>IFERROR(__xludf.DUMMYFUNCTION("""COMPUTED_VALUE"""),1.75118949999159)</f>
        <v>1.7511895</v>
      </c>
    </row>
    <row r="43">
      <c r="A43" s="5" t="str">
        <f t="shared" si="1"/>
        <v>P1</v>
      </c>
      <c r="B43" s="1">
        <v>52.0</v>
      </c>
      <c r="C43" s="2" t="s">
        <v>48</v>
      </c>
      <c r="D43" s="3" t="s">
        <v>7</v>
      </c>
      <c r="E43" s="6">
        <v>5.0</v>
      </c>
      <c r="F43" s="5">
        <f>IFERROR(__xludf.DUMMYFUNCTION("""COMPUTED_VALUE"""),1.64912990000448)</f>
        <v>1.6491299</v>
      </c>
    </row>
    <row r="44">
      <c r="A44" s="5" t="str">
        <f t="shared" si="1"/>
        <v>P1</v>
      </c>
      <c r="B44" s="1">
        <v>55.0</v>
      </c>
      <c r="C44" s="2" t="s">
        <v>49</v>
      </c>
      <c r="D44" s="3" t="s">
        <v>7</v>
      </c>
      <c r="E44" s="6">
        <v>5.0</v>
      </c>
      <c r="F44" s="5">
        <f>IFERROR(__xludf.DUMMYFUNCTION("""COMPUTED_VALUE"""),1.38200740001047)</f>
        <v>1.3820074</v>
      </c>
    </row>
    <row r="45">
      <c r="A45" s="5" t="str">
        <f t="shared" si="1"/>
        <v>P1</v>
      </c>
      <c r="B45" s="1">
        <v>56.0</v>
      </c>
      <c r="C45" s="2" t="s">
        <v>50</v>
      </c>
      <c r="D45" s="3" t="s">
        <v>7</v>
      </c>
      <c r="E45" s="6">
        <v>5.0</v>
      </c>
      <c r="F45" s="5">
        <f>IFERROR(__xludf.DUMMYFUNCTION("""COMPUTED_VALUE"""),1.19676599999365)</f>
        <v>1.196766</v>
      </c>
    </row>
    <row r="46">
      <c r="A46" s="5" t="str">
        <f t="shared" si="1"/>
        <v>P1</v>
      </c>
      <c r="B46" s="1">
        <v>58.0</v>
      </c>
      <c r="C46" s="2" t="s">
        <v>51</v>
      </c>
      <c r="D46" s="3" t="s">
        <v>7</v>
      </c>
      <c r="E46" s="6">
        <v>5.0</v>
      </c>
      <c r="F46" s="5">
        <f>IFERROR(__xludf.DUMMYFUNCTION("""COMPUTED_VALUE"""),1.44666440000582)</f>
        <v>1.4466644</v>
      </c>
    </row>
    <row r="47">
      <c r="A47" s="5" t="str">
        <f t="shared" si="1"/>
        <v>P1</v>
      </c>
      <c r="B47" s="1">
        <v>59.0</v>
      </c>
      <c r="C47" s="2" t="s">
        <v>52</v>
      </c>
      <c r="D47" s="3" t="s">
        <v>7</v>
      </c>
      <c r="E47" s="6">
        <v>10.0</v>
      </c>
      <c r="F47" s="5">
        <f>IFERROR(__xludf.DUMMYFUNCTION("""COMPUTED_VALUE"""),1.27487689998815)</f>
        <v>1.2748769</v>
      </c>
    </row>
    <row r="48">
      <c r="A48" s="5" t="str">
        <f t="shared" si="1"/>
        <v>P1</v>
      </c>
      <c r="B48" s="1">
        <v>61.0</v>
      </c>
      <c r="C48" s="2" t="s">
        <v>53</v>
      </c>
      <c r="D48" s="3" t="s">
        <v>7</v>
      </c>
      <c r="E48" s="6">
        <v>5.0</v>
      </c>
      <c r="F48" s="5">
        <f>IFERROR(__xludf.DUMMYFUNCTION("""COMPUTED_VALUE"""),1.93376129999523)</f>
        <v>1.9337613</v>
      </c>
    </row>
    <row r="49">
      <c r="A49" s="5" t="str">
        <f t="shared" si="1"/>
        <v>P1</v>
      </c>
      <c r="B49" s="1">
        <v>62.0</v>
      </c>
      <c r="C49" s="2" t="s">
        <v>54</v>
      </c>
      <c r="D49" s="3" t="s">
        <v>7</v>
      </c>
      <c r="E49" s="6">
        <v>10.0</v>
      </c>
      <c r="F49" s="5">
        <f>IFERROR(__xludf.DUMMYFUNCTION("""COMPUTED_VALUE"""),3.85589629999594)</f>
        <v>3.8558963</v>
      </c>
    </row>
    <row r="50">
      <c r="A50" s="5" t="str">
        <f t="shared" si="1"/>
        <v>P1</v>
      </c>
      <c r="B50" s="1">
        <v>64.0</v>
      </c>
      <c r="C50" s="2" t="s">
        <v>55</v>
      </c>
      <c r="D50" s="3" t="s">
        <v>7</v>
      </c>
      <c r="E50" s="6">
        <v>10.0</v>
      </c>
      <c r="F50" s="5">
        <f>IFERROR(__xludf.DUMMYFUNCTION("""COMPUTED_VALUE"""),1.70163759999559)</f>
        <v>1.7016376</v>
      </c>
    </row>
    <row r="51">
      <c r="A51" s="5" t="str">
        <f t="shared" si="1"/>
        <v>P1</v>
      </c>
      <c r="B51" s="1">
        <v>65.0</v>
      </c>
      <c r="C51" s="2" t="s">
        <v>56</v>
      </c>
      <c r="D51" s="3" t="s">
        <v>7</v>
      </c>
      <c r="E51" s="6">
        <v>5.0</v>
      </c>
      <c r="F51" s="5">
        <f>IFERROR(__xludf.DUMMYFUNCTION("""COMPUTED_VALUE"""),1.13317559999995)</f>
        <v>1.1331756</v>
      </c>
    </row>
    <row r="52">
      <c r="A52" s="5" t="str">
        <f t="shared" si="1"/>
        <v>P1</v>
      </c>
      <c r="B52" s="1">
        <v>66.0</v>
      </c>
      <c r="C52" s="2" t="s">
        <v>57</v>
      </c>
      <c r="D52" s="3" t="s">
        <v>7</v>
      </c>
      <c r="E52" s="6">
        <v>10.0</v>
      </c>
      <c r="F52" s="5">
        <f>IFERROR(__xludf.DUMMYFUNCTION("""COMPUTED_VALUE"""),1.00409819999185)</f>
        <v>1.0040982</v>
      </c>
    </row>
    <row r="53">
      <c r="A53" s="5" t="str">
        <f t="shared" si="1"/>
        <v>P1</v>
      </c>
      <c r="B53" s="1">
        <v>67.0</v>
      </c>
      <c r="C53" s="2" t="s">
        <v>58</v>
      </c>
      <c r="D53" s="3" t="s">
        <v>7</v>
      </c>
      <c r="E53" s="6">
        <v>10.0</v>
      </c>
      <c r="F53" s="5">
        <f>IFERROR(__xludf.DUMMYFUNCTION("""COMPUTED_VALUE"""),3.0589989)</f>
        <v>3.0589989</v>
      </c>
    </row>
    <row r="54">
      <c r="A54" s="5" t="str">
        <f t="shared" si="1"/>
        <v>P1</v>
      </c>
      <c r="B54" s="1">
        <v>68.0</v>
      </c>
      <c r="C54" s="2" t="s">
        <v>59</v>
      </c>
      <c r="D54" s="3" t="s">
        <v>7</v>
      </c>
      <c r="E54" s="6">
        <v>5.0</v>
      </c>
      <c r="F54" s="5">
        <f>IFERROR(__xludf.DUMMYFUNCTION("""COMPUTED_VALUE"""),2.24820320001163)</f>
        <v>2.2482032</v>
      </c>
    </row>
    <row r="55">
      <c r="A55" s="5" t="str">
        <f t="shared" si="1"/>
        <v>P1</v>
      </c>
      <c r="B55" s="1">
        <v>69.0</v>
      </c>
      <c r="C55" s="2" t="s">
        <v>60</v>
      </c>
      <c r="D55" s="3" t="s">
        <v>7</v>
      </c>
      <c r="E55" s="6">
        <v>5.0</v>
      </c>
      <c r="F55" s="5">
        <f>IFERROR(__xludf.DUMMYFUNCTION("""COMPUTED_VALUE"""),1.64358540000102)</f>
        <v>1.6435854</v>
      </c>
    </row>
    <row r="56">
      <c r="A56" s="5" t="str">
        <f t="shared" si="1"/>
        <v>P1</v>
      </c>
      <c r="B56" s="1">
        <v>71.0</v>
      </c>
      <c r="C56" s="2" t="s">
        <v>61</v>
      </c>
      <c r="D56" s="3" t="s">
        <v>7</v>
      </c>
      <c r="E56" s="6">
        <v>5.0</v>
      </c>
      <c r="F56" s="5">
        <f>IFERROR(__xludf.DUMMYFUNCTION("""COMPUTED_VALUE"""),2.31835590000264)</f>
        <v>2.3183559</v>
      </c>
    </row>
    <row r="57">
      <c r="A57" s="5" t="str">
        <f t="shared" si="1"/>
        <v>P1</v>
      </c>
      <c r="B57" s="1">
        <v>72.0</v>
      </c>
      <c r="C57" s="2" t="s">
        <v>62</v>
      </c>
      <c r="D57" s="3" t="s">
        <v>7</v>
      </c>
      <c r="E57" s="6">
        <v>10.0</v>
      </c>
      <c r="F57" s="5">
        <f>IFERROR(__xludf.DUMMYFUNCTION("""COMPUTED_VALUE"""),2.07210979999217)</f>
        <v>2.0721098</v>
      </c>
    </row>
    <row r="58">
      <c r="A58" s="5" t="str">
        <f t="shared" si="1"/>
        <v>P1</v>
      </c>
      <c r="B58" s="1">
        <v>73.0</v>
      </c>
      <c r="C58" s="2" t="s">
        <v>63</v>
      </c>
      <c r="D58" s="3" t="s">
        <v>7</v>
      </c>
      <c r="E58" s="6">
        <v>5.0</v>
      </c>
      <c r="F58" s="5">
        <f>IFERROR(__xludf.DUMMYFUNCTION("""COMPUTED_VALUE"""),2.21763020000071)</f>
        <v>2.2176302</v>
      </c>
    </row>
    <row r="59">
      <c r="A59" s="5" t="str">
        <f t="shared" si="1"/>
        <v>P1</v>
      </c>
      <c r="B59" s="1">
        <v>74.0</v>
      </c>
      <c r="C59" s="2" t="s">
        <v>64</v>
      </c>
      <c r="D59" s="3" t="s">
        <v>7</v>
      </c>
      <c r="E59" s="6">
        <v>10.0</v>
      </c>
      <c r="F59" s="5">
        <f>IFERROR(__xludf.DUMMYFUNCTION("""COMPUTED_VALUE"""),2.67367549998743)</f>
        <v>2.6736755</v>
      </c>
    </row>
    <row r="60">
      <c r="A60" s="5" t="str">
        <f t="shared" si="1"/>
        <v>P1</v>
      </c>
      <c r="B60" s="1">
        <v>76.0</v>
      </c>
      <c r="C60" s="2" t="s">
        <v>65</v>
      </c>
      <c r="D60" s="3" t="s">
        <v>7</v>
      </c>
      <c r="E60" s="6">
        <v>10.0</v>
      </c>
      <c r="F60" s="5">
        <f>IFERROR(__xludf.DUMMYFUNCTION("""COMPUTED_VALUE"""),2.28130870001041)</f>
        <v>2.2813087</v>
      </c>
    </row>
    <row r="61">
      <c r="A61" s="5" t="str">
        <f t="shared" si="1"/>
        <v>P1</v>
      </c>
      <c r="B61" s="1">
        <v>77.0</v>
      </c>
      <c r="C61" s="2" t="s">
        <v>66</v>
      </c>
      <c r="D61" s="3" t="s">
        <v>7</v>
      </c>
      <c r="E61" s="6">
        <v>5.0</v>
      </c>
      <c r="F61" s="5">
        <f>IFERROR(__xludf.DUMMYFUNCTION("""COMPUTED_VALUE"""),1.602069200002)</f>
        <v>1.6020692</v>
      </c>
    </row>
    <row r="62">
      <c r="A62" s="5" t="str">
        <f t="shared" si="1"/>
        <v>P1</v>
      </c>
      <c r="B62" s="1">
        <v>78.0</v>
      </c>
      <c r="C62" s="2" t="s">
        <v>67</v>
      </c>
      <c r="D62" s="3" t="s">
        <v>7</v>
      </c>
      <c r="E62" s="6">
        <v>10.0</v>
      </c>
      <c r="F62" s="5">
        <f>IFERROR(__xludf.DUMMYFUNCTION("""COMPUTED_VALUE"""),1.78581370000028)</f>
        <v>1.7858137</v>
      </c>
    </row>
    <row r="63">
      <c r="A63" s="5" t="str">
        <f t="shared" si="1"/>
        <v>P1</v>
      </c>
      <c r="B63" s="1">
        <v>79.0</v>
      </c>
      <c r="C63" s="2" t="s">
        <v>68</v>
      </c>
      <c r="D63" s="3" t="s">
        <v>7</v>
      </c>
      <c r="E63" s="6">
        <v>10.0</v>
      </c>
      <c r="F63" s="5">
        <f>IFERROR(__xludf.DUMMYFUNCTION("""COMPUTED_VALUE"""),1.40548549999948)</f>
        <v>1.4054855</v>
      </c>
    </row>
    <row r="64">
      <c r="A64" s="5" t="str">
        <f t="shared" si="1"/>
        <v>P1</v>
      </c>
      <c r="B64" s="1">
        <v>80.0</v>
      </c>
      <c r="C64" s="2" t="s">
        <v>69</v>
      </c>
      <c r="D64" s="3" t="s">
        <v>7</v>
      </c>
      <c r="E64" s="6">
        <v>5.0</v>
      </c>
      <c r="F64" s="5">
        <f>IFERROR(__xludf.DUMMYFUNCTION("""COMPUTED_VALUE"""),2.11128889999236)</f>
        <v>2.1112889</v>
      </c>
    </row>
    <row r="65">
      <c r="A65" s="5" t="str">
        <f t="shared" si="1"/>
        <v>P1</v>
      </c>
      <c r="B65" s="1">
        <v>82.0</v>
      </c>
      <c r="C65" s="2" t="s">
        <v>70</v>
      </c>
      <c r="D65" s="3" t="s">
        <v>7</v>
      </c>
      <c r="E65" s="6">
        <v>5.0</v>
      </c>
      <c r="F65" s="5">
        <f>IFERROR(__xludf.DUMMYFUNCTION("""COMPUTED_VALUE"""),2.4350473999948)</f>
        <v>2.4350474</v>
      </c>
    </row>
    <row r="66">
      <c r="A66" s="5" t="str">
        <f t="shared" si="1"/>
        <v>P1</v>
      </c>
      <c r="B66" s="1">
        <v>83.0</v>
      </c>
      <c r="C66" s="2" t="s">
        <v>71</v>
      </c>
      <c r="D66" s="3" t="s">
        <v>7</v>
      </c>
      <c r="E66" s="6">
        <v>10.0</v>
      </c>
      <c r="F66" s="5">
        <f>IFERROR(__xludf.DUMMYFUNCTION("""COMPUTED_VALUE"""),2.20350740000139)</f>
        <v>2.2035074</v>
      </c>
    </row>
    <row r="67">
      <c r="A67" s="5" t="str">
        <f t="shared" si="1"/>
        <v>P1</v>
      </c>
      <c r="B67" s="1">
        <v>84.0</v>
      </c>
      <c r="C67" s="2" t="s">
        <v>72</v>
      </c>
      <c r="D67" s="3" t="s">
        <v>7</v>
      </c>
      <c r="E67" s="6">
        <v>10.0</v>
      </c>
      <c r="F67" s="5">
        <f>IFERROR(__xludf.DUMMYFUNCTION("""COMPUTED_VALUE"""),1.05679060000693)</f>
        <v>1.0567906</v>
      </c>
    </row>
    <row r="68">
      <c r="A68" s="5" t="str">
        <f t="shared" si="1"/>
        <v>P1</v>
      </c>
      <c r="B68" s="1">
        <v>85.0</v>
      </c>
      <c r="C68" s="2" t="s">
        <v>73</v>
      </c>
      <c r="D68" s="3" t="s">
        <v>7</v>
      </c>
      <c r="E68" s="6">
        <v>5.0</v>
      </c>
      <c r="F68" s="5">
        <f>IFERROR(__xludf.DUMMYFUNCTION("""COMPUTED_VALUE"""),2.53095899999607)</f>
        <v>2.530959</v>
      </c>
    </row>
    <row r="69">
      <c r="A69" s="5" t="str">
        <f t="shared" si="1"/>
        <v>P1</v>
      </c>
      <c r="B69" s="1">
        <v>86.0</v>
      </c>
      <c r="C69" s="2" t="s">
        <v>74</v>
      </c>
      <c r="D69" s="3" t="s">
        <v>7</v>
      </c>
      <c r="E69" s="6">
        <v>5.0</v>
      </c>
      <c r="F69" s="5">
        <f>IFERROR(__xludf.DUMMYFUNCTION("""COMPUTED_VALUE"""),1.30013809999218)</f>
        <v>1.3001381</v>
      </c>
    </row>
    <row r="70">
      <c r="A70" s="5" t="str">
        <f t="shared" si="1"/>
        <v>P1</v>
      </c>
      <c r="B70" s="1">
        <v>87.0</v>
      </c>
      <c r="C70" s="2" t="s">
        <v>75</v>
      </c>
      <c r="D70" s="3" t="s">
        <v>7</v>
      </c>
      <c r="E70" s="6">
        <v>5.0</v>
      </c>
      <c r="F70" s="5">
        <f>IFERROR(__xludf.DUMMYFUNCTION("""COMPUTED_VALUE"""),1.64819049999641)</f>
        <v>1.6481905</v>
      </c>
    </row>
    <row r="71">
      <c r="A71" s="5" t="str">
        <f t="shared" si="1"/>
        <v>P1</v>
      </c>
      <c r="B71" s="1">
        <v>88.0</v>
      </c>
      <c r="C71" s="2" t="s">
        <v>76</v>
      </c>
      <c r="D71" s="3" t="s">
        <v>7</v>
      </c>
      <c r="E71" s="6">
        <v>5.0</v>
      </c>
      <c r="F71" s="5">
        <f>IFERROR(__xludf.DUMMYFUNCTION("""COMPUTED_VALUE"""),1.57991739999852)</f>
        <v>1.5799174</v>
      </c>
    </row>
    <row r="72">
      <c r="A72" s="5" t="str">
        <f t="shared" si="1"/>
        <v>P1</v>
      </c>
      <c r="B72" s="1">
        <v>90.0</v>
      </c>
      <c r="C72" s="2" t="s">
        <v>77</v>
      </c>
      <c r="D72" s="3" t="s">
        <v>7</v>
      </c>
      <c r="E72" s="6">
        <v>10.0</v>
      </c>
      <c r="F72" s="5">
        <f>IFERROR(__xludf.DUMMYFUNCTION("""COMPUTED_VALUE"""),2.48730190000787)</f>
        <v>2.4873019</v>
      </c>
    </row>
    <row r="73">
      <c r="A73" s="5" t="str">
        <f t="shared" si="1"/>
        <v>P1</v>
      </c>
      <c r="B73" s="1">
        <v>91.0</v>
      </c>
      <c r="C73" s="2" t="s">
        <v>78</v>
      </c>
      <c r="D73" s="3" t="s">
        <v>7</v>
      </c>
      <c r="E73" s="6">
        <v>5.0</v>
      </c>
      <c r="F73" s="5">
        <f>IFERROR(__xludf.DUMMYFUNCTION("""COMPUTED_VALUE"""),1.48008249999838)</f>
        <v>1.4800825</v>
      </c>
    </row>
    <row r="74">
      <c r="A74" s="5" t="str">
        <f t="shared" si="1"/>
        <v>P1</v>
      </c>
      <c r="B74" s="1">
        <v>92.0</v>
      </c>
      <c r="C74" s="2" t="s">
        <v>79</v>
      </c>
      <c r="D74" s="3" t="s">
        <v>7</v>
      </c>
      <c r="E74" s="6">
        <v>10.0</v>
      </c>
      <c r="F74" s="5">
        <f>IFERROR(__xludf.DUMMYFUNCTION("""COMPUTED_VALUE"""),1.84987549998913)</f>
        <v>1.8498755</v>
      </c>
    </row>
    <row r="75">
      <c r="A75" s="5" t="str">
        <f t="shared" si="1"/>
        <v>P1</v>
      </c>
      <c r="B75" s="1">
        <v>93.0</v>
      </c>
      <c r="C75" s="2" t="s">
        <v>80</v>
      </c>
      <c r="D75" s="3" t="s">
        <v>7</v>
      </c>
      <c r="E75" s="6">
        <v>10.0</v>
      </c>
      <c r="F75" s="5">
        <f>IFERROR(__xludf.DUMMYFUNCTION("""COMPUTED_VALUE"""),1.24937560000398)</f>
        <v>1.2493756</v>
      </c>
    </row>
    <row r="76">
      <c r="A76" s="5" t="str">
        <f t="shared" si="1"/>
        <v>P1</v>
      </c>
      <c r="B76" s="1">
        <v>94.0</v>
      </c>
      <c r="C76" s="2" t="s">
        <v>81</v>
      </c>
      <c r="D76" s="3" t="s">
        <v>7</v>
      </c>
      <c r="E76" s="6">
        <v>5.0</v>
      </c>
      <c r="F76" s="5">
        <f>IFERROR(__xludf.DUMMYFUNCTION("""COMPUTED_VALUE"""),1.83576640000683)</f>
        <v>1.8357664</v>
      </c>
    </row>
    <row r="77">
      <c r="A77" s="5" t="str">
        <f t="shared" si="1"/>
        <v>P1</v>
      </c>
      <c r="B77" s="1">
        <v>95.0</v>
      </c>
      <c r="C77" s="2" t="s">
        <v>82</v>
      </c>
      <c r="D77" s="3" t="s">
        <v>7</v>
      </c>
      <c r="E77" s="6">
        <v>10.0</v>
      </c>
      <c r="F77" s="5">
        <f>IFERROR(__xludf.DUMMYFUNCTION("""COMPUTED_VALUE"""),3.57167740000295)</f>
        <v>3.5716774</v>
      </c>
    </row>
    <row r="78">
      <c r="A78" s="5" t="str">
        <f t="shared" si="1"/>
        <v>P1</v>
      </c>
      <c r="B78" s="1">
        <v>96.0</v>
      </c>
      <c r="C78" s="2" t="s">
        <v>83</v>
      </c>
      <c r="D78" s="3" t="s">
        <v>7</v>
      </c>
      <c r="E78" s="6">
        <v>5.0</v>
      </c>
      <c r="F78" s="5">
        <f>IFERROR(__xludf.DUMMYFUNCTION("""COMPUTED_VALUE"""),3.35511289999703)</f>
        <v>3.3551129</v>
      </c>
    </row>
    <row r="79">
      <c r="A79" s="5" t="str">
        <f t="shared" si="1"/>
        <v>P1</v>
      </c>
      <c r="B79" s="1">
        <v>97.0</v>
      </c>
      <c r="C79" s="2" t="s">
        <v>84</v>
      </c>
      <c r="D79" s="3" t="s">
        <v>7</v>
      </c>
      <c r="E79" s="6">
        <v>10.0</v>
      </c>
      <c r="F79" s="5">
        <f>IFERROR(__xludf.DUMMYFUNCTION("""COMPUTED_VALUE"""),2.20653549999406)</f>
        <v>2.2065355</v>
      </c>
    </row>
    <row r="80">
      <c r="A80" s="5" t="str">
        <f t="shared" si="1"/>
        <v>P1</v>
      </c>
      <c r="B80" s="1">
        <v>98.0</v>
      </c>
      <c r="C80" s="2" t="s">
        <v>85</v>
      </c>
      <c r="D80" s="3" t="s">
        <v>7</v>
      </c>
      <c r="E80" s="6">
        <v>10.0</v>
      </c>
      <c r="F80" s="5">
        <f>IFERROR(__xludf.DUMMYFUNCTION("""COMPUTED_VALUE"""),2.55794830000377)</f>
        <v>2.5579483</v>
      </c>
    </row>
    <row r="81">
      <c r="A81" s="5" t="str">
        <f t="shared" si="1"/>
        <v>P1</v>
      </c>
      <c r="B81" s="1">
        <v>99.0</v>
      </c>
      <c r="C81" s="2" t="s">
        <v>86</v>
      </c>
      <c r="D81" s="3" t="s">
        <v>7</v>
      </c>
      <c r="E81" s="6">
        <v>5.0</v>
      </c>
      <c r="F81" s="5">
        <f>IFERROR(__xludf.DUMMYFUNCTION("""COMPUTED_VALUE"""),1.68583620000572)</f>
        <v>1.6858362</v>
      </c>
    </row>
    <row r="82">
      <c r="A82" s="5" t="str">
        <f t="shared" si="1"/>
        <v>P1</v>
      </c>
      <c r="B82" s="1">
        <v>100.0</v>
      </c>
      <c r="C82" s="2" t="s">
        <v>87</v>
      </c>
      <c r="D82" s="3" t="s">
        <v>7</v>
      </c>
      <c r="E82" s="6">
        <v>10.0</v>
      </c>
      <c r="F82" s="5">
        <f>IFERROR(__xludf.DUMMYFUNCTION("""COMPUTED_VALUE"""),3.29880960000446)</f>
        <v>3.2988096</v>
      </c>
    </row>
    <row r="83">
      <c r="A83" s="5" t="str">
        <f t="shared" si="1"/>
        <v>P1</v>
      </c>
      <c r="B83" s="1">
        <v>103.0</v>
      </c>
      <c r="C83" s="2" t="s">
        <v>88</v>
      </c>
      <c r="D83" s="3" t="s">
        <v>7</v>
      </c>
      <c r="E83" s="6">
        <v>5.0</v>
      </c>
      <c r="F83" s="5">
        <f>IFERROR(__xludf.DUMMYFUNCTION("""COMPUTED_VALUE"""),1.10744969999359)</f>
        <v>1.1074497</v>
      </c>
    </row>
    <row r="84">
      <c r="A84" s="5" t="str">
        <f t="shared" si="1"/>
        <v>P1</v>
      </c>
      <c r="B84" s="1">
        <v>104.0</v>
      </c>
      <c r="C84" s="2" t="s">
        <v>89</v>
      </c>
      <c r="D84" s="3" t="s">
        <v>7</v>
      </c>
      <c r="E84" s="6">
        <v>10.0</v>
      </c>
      <c r="F84" s="5">
        <f>IFERROR(__xludf.DUMMYFUNCTION("""COMPUTED_VALUE"""),1.41972109999915)</f>
        <v>1.4197211</v>
      </c>
    </row>
    <row r="85">
      <c r="A85" s="5" t="str">
        <f t="shared" si="1"/>
        <v>P1</v>
      </c>
      <c r="B85" s="1">
        <v>105.0</v>
      </c>
      <c r="C85" s="2" t="s">
        <v>90</v>
      </c>
      <c r="D85" s="3" t="s">
        <v>7</v>
      </c>
      <c r="E85" s="6">
        <v>5.0</v>
      </c>
      <c r="F85" s="5">
        <f>IFERROR(__xludf.DUMMYFUNCTION("""COMPUTED_VALUE"""),2.85064999999303)</f>
        <v>2.85065</v>
      </c>
    </row>
    <row r="86">
      <c r="A86" s="5" t="str">
        <f t="shared" si="1"/>
        <v>P1</v>
      </c>
      <c r="B86" s="1">
        <v>107.0</v>
      </c>
      <c r="C86" s="2" t="s">
        <v>91</v>
      </c>
      <c r="D86" s="3" t="s">
        <v>7</v>
      </c>
      <c r="E86" s="6">
        <v>5.0</v>
      </c>
      <c r="F86" s="5">
        <f>IFERROR(__xludf.DUMMYFUNCTION("""COMPUTED_VALUE"""),1.88289109998731)</f>
        <v>1.8828911</v>
      </c>
    </row>
    <row r="87">
      <c r="A87" s="5" t="str">
        <f t="shared" si="1"/>
        <v>P1</v>
      </c>
      <c r="B87" s="1">
        <v>108.0</v>
      </c>
      <c r="C87" s="2" t="s">
        <v>92</v>
      </c>
      <c r="D87" s="3" t="s">
        <v>7</v>
      </c>
      <c r="E87" s="6">
        <v>10.0</v>
      </c>
      <c r="F87" s="5">
        <f>IFERROR(__xludf.DUMMYFUNCTION("""COMPUTED_VALUE"""),1.31689890001143)</f>
        <v>1.3168989</v>
      </c>
    </row>
    <row r="88">
      <c r="A88" s="5" t="str">
        <f t="shared" si="1"/>
        <v>P1</v>
      </c>
      <c r="B88" s="1">
        <v>110.0</v>
      </c>
      <c r="C88" s="2" t="s">
        <v>93</v>
      </c>
      <c r="D88" s="3" t="s">
        <v>7</v>
      </c>
      <c r="E88" s="6">
        <v>5.0</v>
      </c>
      <c r="F88" s="5">
        <f>IFERROR(__xludf.DUMMYFUNCTION("""COMPUTED_VALUE"""),1.83545060000324)</f>
        <v>1.8354506</v>
      </c>
    </row>
    <row r="89">
      <c r="A89" s="5" t="str">
        <f t="shared" si="1"/>
        <v>P1</v>
      </c>
      <c r="B89" s="1">
        <v>112.0</v>
      </c>
      <c r="C89" s="2" t="s">
        <v>94</v>
      </c>
      <c r="D89" s="3" t="s">
        <v>7</v>
      </c>
      <c r="E89" s="6">
        <v>10.0</v>
      </c>
      <c r="F89" s="5">
        <f>IFERROR(__xludf.DUMMYFUNCTION("""COMPUTED_VALUE"""),2.81941609999921)</f>
        <v>2.8194161</v>
      </c>
    </row>
    <row r="90">
      <c r="A90" s="5" t="str">
        <f t="shared" si="1"/>
        <v>P1</v>
      </c>
      <c r="B90" s="1">
        <v>113.0</v>
      </c>
      <c r="C90" s="2" t="s">
        <v>95</v>
      </c>
      <c r="D90" s="3" t="s">
        <v>7</v>
      </c>
      <c r="E90" s="6">
        <v>10.0</v>
      </c>
      <c r="F90" s="5">
        <f>IFERROR(__xludf.DUMMYFUNCTION("""COMPUTED_VALUE"""),3.01538260000234)</f>
        <v>3.0153826</v>
      </c>
    </row>
    <row r="91">
      <c r="A91" s="5" t="str">
        <f t="shared" si="1"/>
        <v>P1</v>
      </c>
      <c r="B91" s="1">
        <v>115.0</v>
      </c>
      <c r="C91" s="2" t="s">
        <v>96</v>
      </c>
      <c r="D91" s="3" t="s">
        <v>7</v>
      </c>
      <c r="E91" s="6">
        <v>10.0</v>
      </c>
      <c r="F91" s="5">
        <f>IFERROR(__xludf.DUMMYFUNCTION("""COMPUTED_VALUE"""),1.34359600000607)</f>
        <v>1.343596</v>
      </c>
    </row>
    <row r="92">
      <c r="A92" s="5" t="str">
        <f t="shared" si="1"/>
        <v>P1</v>
      </c>
      <c r="B92" s="1">
        <v>116.0</v>
      </c>
      <c r="C92" s="2" t="s">
        <v>97</v>
      </c>
      <c r="D92" s="3" t="s">
        <v>7</v>
      </c>
      <c r="E92" s="6">
        <v>10.0</v>
      </c>
      <c r="F92" s="5">
        <f>IFERROR(__xludf.DUMMYFUNCTION("""COMPUTED_VALUE"""),1.085965700011)</f>
        <v>1.0859657</v>
      </c>
    </row>
    <row r="93">
      <c r="A93" s="5" t="str">
        <f t="shared" si="1"/>
        <v>P1</v>
      </c>
      <c r="B93" s="1">
        <v>117.0</v>
      </c>
      <c r="C93" s="2" t="s">
        <v>98</v>
      </c>
      <c r="D93" s="3" t="s">
        <v>7</v>
      </c>
      <c r="E93" s="6">
        <v>10.0</v>
      </c>
      <c r="F93" s="5">
        <f>IFERROR(__xludf.DUMMYFUNCTION("""COMPUTED_VALUE"""),1.96009669998602)</f>
        <v>1.9600967</v>
      </c>
    </row>
    <row r="94">
      <c r="A94" s="5" t="str">
        <f t="shared" si="1"/>
        <v>P1</v>
      </c>
      <c r="B94" s="1">
        <v>118.0</v>
      </c>
      <c r="C94" s="2" t="s">
        <v>99</v>
      </c>
      <c r="D94" s="3" t="s">
        <v>7</v>
      </c>
      <c r="E94" s="6">
        <v>10.0</v>
      </c>
      <c r="F94" s="5">
        <f>IFERROR(__xludf.DUMMYFUNCTION("""COMPUTED_VALUE"""),1.45030779999797)</f>
        <v>1.4503078</v>
      </c>
    </row>
    <row r="95">
      <c r="A95" s="5" t="str">
        <f t="shared" si="1"/>
        <v>P1</v>
      </c>
      <c r="B95" s="1">
        <v>119.0</v>
      </c>
      <c r="C95" s="2" t="s">
        <v>100</v>
      </c>
      <c r="D95" s="3" t="s">
        <v>7</v>
      </c>
      <c r="E95" s="6">
        <v>5.0</v>
      </c>
      <c r="F95" s="5">
        <f>IFERROR(__xludf.DUMMYFUNCTION("""COMPUTED_VALUE"""),1.61605830000189)</f>
        <v>1.6160583</v>
      </c>
    </row>
    <row r="96">
      <c r="A96" s="5" t="str">
        <f t="shared" si="1"/>
        <v>P1</v>
      </c>
      <c r="B96" s="1">
        <v>120.0</v>
      </c>
      <c r="C96" s="2" t="s">
        <v>101</v>
      </c>
      <c r="D96" s="3" t="s">
        <v>7</v>
      </c>
      <c r="E96" s="6">
        <v>5.0</v>
      </c>
      <c r="F96" s="5">
        <f>IFERROR(__xludf.DUMMYFUNCTION("""COMPUTED_VALUE"""),1.39962270000251)</f>
        <v>1.3996227</v>
      </c>
    </row>
    <row r="97">
      <c r="A97" s="5" t="str">
        <f t="shared" si="1"/>
        <v>P1</v>
      </c>
      <c r="B97" s="1">
        <v>121.0</v>
      </c>
      <c r="C97" s="2" t="s">
        <v>102</v>
      </c>
      <c r="D97" s="3" t="s">
        <v>7</v>
      </c>
      <c r="E97" s="6">
        <v>5.0</v>
      </c>
      <c r="F97" s="5">
        <f>IFERROR(__xludf.DUMMYFUNCTION("""COMPUTED_VALUE"""),1.92937279999023)</f>
        <v>1.9293728</v>
      </c>
    </row>
    <row r="98">
      <c r="A98" s="5" t="str">
        <f t="shared" si="1"/>
        <v>P1</v>
      </c>
      <c r="B98" s="1">
        <v>122.0</v>
      </c>
      <c r="C98" s="2" t="s">
        <v>103</v>
      </c>
      <c r="D98" s="3" t="s">
        <v>7</v>
      </c>
      <c r="E98" s="6">
        <v>5.0</v>
      </c>
      <c r="F98" s="5">
        <f>IFERROR(__xludf.DUMMYFUNCTION("""COMPUTED_VALUE"""),1.77463260000513)</f>
        <v>1.7746326</v>
      </c>
    </row>
    <row r="99">
      <c r="A99" s="5" t="str">
        <f t="shared" si="1"/>
        <v>P1</v>
      </c>
      <c r="B99" s="1">
        <v>123.0</v>
      </c>
      <c r="C99" s="2" t="s">
        <v>104</v>
      </c>
      <c r="D99" s="3" t="s">
        <v>7</v>
      </c>
      <c r="E99" s="6">
        <v>10.0</v>
      </c>
      <c r="F99" s="5">
        <f>IFERROR(__xludf.DUMMYFUNCTION("""COMPUTED_VALUE"""),2.2735784999968)</f>
        <v>2.2735785</v>
      </c>
    </row>
    <row r="100">
      <c r="A100" s="5" t="str">
        <f t="shared" si="1"/>
        <v>P1</v>
      </c>
      <c r="B100" s="1">
        <v>124.0</v>
      </c>
      <c r="C100" s="2" t="s">
        <v>105</v>
      </c>
      <c r="D100" s="3" t="s">
        <v>7</v>
      </c>
      <c r="E100" s="6">
        <v>5.0</v>
      </c>
      <c r="F100" s="5">
        <f>IFERROR(__xludf.DUMMYFUNCTION("""COMPUTED_VALUE"""),1.56557489999977)</f>
        <v>1.5655749</v>
      </c>
    </row>
    <row r="101">
      <c r="A101" s="5" t="str">
        <f t="shared" si="1"/>
        <v>P1</v>
      </c>
      <c r="B101" s="1">
        <v>126.0</v>
      </c>
      <c r="C101" s="2" t="s">
        <v>106</v>
      </c>
      <c r="D101" s="3" t="s">
        <v>7</v>
      </c>
      <c r="E101" s="6">
        <v>10.0</v>
      </c>
      <c r="F101" s="5">
        <f>IFERROR(__xludf.DUMMYFUNCTION("""COMPUTED_VALUE"""),1.75048240000614)</f>
        <v>1.7504824</v>
      </c>
    </row>
    <row r="102">
      <c r="A102" s="5" t="str">
        <f t="shared" si="1"/>
        <v>P1</v>
      </c>
      <c r="B102" s="1">
        <v>127.0</v>
      </c>
      <c r="C102" s="2" t="s">
        <v>107</v>
      </c>
      <c r="D102" s="3" t="s">
        <v>7</v>
      </c>
      <c r="E102" s="6">
        <v>5.0</v>
      </c>
      <c r="F102" s="5">
        <f>IFERROR(__xludf.DUMMYFUNCTION("""COMPUTED_VALUE"""),1.81533099999069)</f>
        <v>1.815331</v>
      </c>
    </row>
    <row r="103">
      <c r="A103" s="5" t="str">
        <f t="shared" si="1"/>
        <v>P1</v>
      </c>
      <c r="B103" s="1">
        <v>128.0</v>
      </c>
      <c r="C103" s="2" t="s">
        <v>108</v>
      </c>
      <c r="D103" s="3" t="s">
        <v>7</v>
      </c>
      <c r="E103" s="6">
        <v>10.0</v>
      </c>
      <c r="F103" s="5">
        <f>IFERROR(__xludf.DUMMYFUNCTION("""COMPUTED_VALUE"""),1.85086669999873)</f>
        <v>1.8508667</v>
      </c>
    </row>
    <row r="104">
      <c r="A104" s="5" t="str">
        <f t="shared" si="1"/>
        <v>P1</v>
      </c>
      <c r="B104" s="1">
        <v>129.0</v>
      </c>
      <c r="C104" s="2" t="s">
        <v>109</v>
      </c>
      <c r="D104" s="3" t="s">
        <v>7</v>
      </c>
      <c r="E104" s="6">
        <v>10.0</v>
      </c>
      <c r="F104" s="5">
        <f>IFERROR(__xludf.DUMMYFUNCTION("""COMPUTED_VALUE"""),2.50493510000524)</f>
        <v>2.5049351</v>
      </c>
    </row>
    <row r="105">
      <c r="A105" s="5" t="str">
        <f t="shared" si="1"/>
        <v>P1</v>
      </c>
      <c r="B105" s="1">
        <v>130.0</v>
      </c>
      <c r="C105" s="2" t="s">
        <v>110</v>
      </c>
      <c r="D105" s="3" t="s">
        <v>7</v>
      </c>
      <c r="E105" s="6">
        <v>10.0</v>
      </c>
      <c r="F105" s="5">
        <f>IFERROR(__xludf.DUMMYFUNCTION("""COMPUTED_VALUE"""),1.55152419999649)</f>
        <v>1.5515242</v>
      </c>
    </row>
    <row r="106">
      <c r="A106" s="5" t="str">
        <f t="shared" si="1"/>
        <v>P1</v>
      </c>
      <c r="B106" s="1">
        <v>132.0</v>
      </c>
      <c r="C106" s="2" t="s">
        <v>111</v>
      </c>
      <c r="D106" s="3" t="s">
        <v>7</v>
      </c>
      <c r="E106" s="6">
        <v>5.0</v>
      </c>
      <c r="F106" s="5">
        <f>IFERROR(__xludf.DUMMYFUNCTION("""COMPUTED_VALUE"""),1.37369209999451)</f>
        <v>1.3736921</v>
      </c>
    </row>
    <row r="107">
      <c r="A107" s="5" t="str">
        <f t="shared" si="1"/>
        <v>P1</v>
      </c>
      <c r="B107" s="1">
        <v>133.0</v>
      </c>
      <c r="C107" s="2" t="s">
        <v>112</v>
      </c>
      <c r="D107" s="3" t="s">
        <v>7</v>
      </c>
      <c r="E107" s="6">
        <v>10.0</v>
      </c>
      <c r="F107" s="5">
        <f>IFERROR(__xludf.DUMMYFUNCTION("""COMPUTED_VALUE"""),1.57032640000397)</f>
        <v>1.5703264</v>
      </c>
    </row>
    <row r="108">
      <c r="A108" s="5" t="str">
        <f t="shared" si="1"/>
        <v>P1</v>
      </c>
      <c r="B108" s="1">
        <v>134.0</v>
      </c>
      <c r="C108" s="2" t="s">
        <v>113</v>
      </c>
      <c r="D108" s="3" t="s">
        <v>7</v>
      </c>
      <c r="E108" s="6">
        <v>10.0</v>
      </c>
      <c r="F108" s="5">
        <f>IFERROR(__xludf.DUMMYFUNCTION("""COMPUTED_VALUE"""),2.20417860000452)</f>
        <v>2.2041786</v>
      </c>
    </row>
    <row r="109">
      <c r="A109" s="5" t="str">
        <f t="shared" si="1"/>
        <v>P1</v>
      </c>
      <c r="B109" s="1">
        <v>135.0</v>
      </c>
      <c r="C109" s="2" t="s">
        <v>114</v>
      </c>
      <c r="D109" s="3" t="s">
        <v>7</v>
      </c>
      <c r="E109" s="6">
        <v>10.0</v>
      </c>
      <c r="F109" s="5">
        <f>IFERROR(__xludf.DUMMYFUNCTION("""COMPUTED_VALUE"""),2.53708310000365)</f>
        <v>2.5370831</v>
      </c>
    </row>
    <row r="110">
      <c r="A110" s="5" t="str">
        <f t="shared" si="1"/>
        <v>P1</v>
      </c>
      <c r="B110" s="1">
        <v>136.0</v>
      </c>
      <c r="C110" s="2" t="s">
        <v>115</v>
      </c>
      <c r="D110" s="3" t="s">
        <v>7</v>
      </c>
      <c r="E110" s="6">
        <v>10.0</v>
      </c>
      <c r="F110" s="5">
        <f>IFERROR(__xludf.DUMMYFUNCTION("""COMPUTED_VALUE"""),2.33498210000107)</f>
        <v>2.3349821</v>
      </c>
    </row>
    <row r="111">
      <c r="A111" s="5" t="str">
        <f t="shared" si="1"/>
        <v>P1</v>
      </c>
      <c r="B111" s="1">
        <v>137.0</v>
      </c>
      <c r="C111" s="2" t="s">
        <v>116</v>
      </c>
      <c r="D111" s="3" t="s">
        <v>7</v>
      </c>
      <c r="E111" s="6">
        <v>5.0</v>
      </c>
      <c r="F111" s="5">
        <f>IFERROR(__xludf.DUMMYFUNCTION("""COMPUTED_VALUE"""),2.19925150000199)</f>
        <v>2.1992515</v>
      </c>
    </row>
    <row r="112">
      <c r="A112" s="5" t="str">
        <f t="shared" si="1"/>
        <v>P1</v>
      </c>
      <c r="B112" s="1">
        <v>138.0</v>
      </c>
      <c r="C112" s="2" t="s">
        <v>117</v>
      </c>
      <c r="D112" s="3" t="s">
        <v>7</v>
      </c>
      <c r="E112" s="6">
        <v>5.0</v>
      </c>
      <c r="F112" s="5">
        <f>IFERROR(__xludf.DUMMYFUNCTION("""COMPUTED_VALUE"""),1.73258219999843)</f>
        <v>1.7325822</v>
      </c>
    </row>
    <row r="113">
      <c r="A113" s="5" t="str">
        <f t="shared" si="1"/>
        <v>P1</v>
      </c>
      <c r="B113" s="1">
        <v>139.0</v>
      </c>
      <c r="C113" s="2" t="s">
        <v>118</v>
      </c>
      <c r="D113" s="3" t="s">
        <v>7</v>
      </c>
      <c r="E113" s="6">
        <v>5.0</v>
      </c>
      <c r="F113" s="5">
        <f>IFERROR(__xludf.DUMMYFUNCTION("""COMPUTED_VALUE"""),1.7816787000047)</f>
        <v>1.7816787</v>
      </c>
    </row>
    <row r="114">
      <c r="A114" s="5" t="str">
        <f t="shared" si="1"/>
        <v>P1</v>
      </c>
      <c r="B114" s="1">
        <v>140.0</v>
      </c>
      <c r="C114" s="2" t="s">
        <v>119</v>
      </c>
      <c r="D114" s="3" t="s">
        <v>7</v>
      </c>
      <c r="E114" s="6">
        <v>10.0</v>
      </c>
      <c r="F114" s="5">
        <f>IFERROR(__xludf.DUMMYFUNCTION("""COMPUTED_VALUE"""),1.66968389999237)</f>
        <v>1.6696839</v>
      </c>
    </row>
    <row r="115">
      <c r="A115" s="5" t="str">
        <f t="shared" si="1"/>
        <v>P1</v>
      </c>
      <c r="B115" s="1">
        <v>141.0</v>
      </c>
      <c r="C115" s="2" t="s">
        <v>120</v>
      </c>
      <c r="D115" s="3" t="s">
        <v>7</v>
      </c>
      <c r="E115" s="6">
        <v>10.0</v>
      </c>
      <c r="F115" s="5">
        <f>IFERROR(__xludf.DUMMYFUNCTION("""COMPUTED_VALUE"""),2.53759490000084)</f>
        <v>2.5375949</v>
      </c>
    </row>
    <row r="116">
      <c r="A116" s="5" t="str">
        <f t="shared" si="1"/>
        <v>P1</v>
      </c>
      <c r="B116" s="1">
        <v>144.0</v>
      </c>
      <c r="C116" s="2" t="s">
        <v>121</v>
      </c>
      <c r="D116" s="3" t="s">
        <v>7</v>
      </c>
      <c r="E116" s="6">
        <v>10.0</v>
      </c>
      <c r="F116" s="5">
        <f>IFERROR(__xludf.DUMMYFUNCTION("""COMPUTED_VALUE"""),2.63511519999883)</f>
        <v>2.6351152</v>
      </c>
    </row>
    <row r="117">
      <c r="A117" s="5" t="str">
        <f t="shared" si="1"/>
        <v>P1</v>
      </c>
      <c r="B117" s="1">
        <v>145.0</v>
      </c>
      <c r="C117" s="2" t="s">
        <v>122</v>
      </c>
      <c r="D117" s="3" t="s">
        <v>7</v>
      </c>
      <c r="E117" s="6">
        <v>5.0</v>
      </c>
      <c r="F117" s="5">
        <f>IFERROR(__xludf.DUMMYFUNCTION("""COMPUTED_VALUE"""),1.62099599999783)</f>
        <v>1.620996</v>
      </c>
    </row>
    <row r="118">
      <c r="A118" s="5" t="str">
        <f t="shared" si="1"/>
        <v>P1</v>
      </c>
      <c r="B118" s="1">
        <v>146.0</v>
      </c>
      <c r="C118" s="2" t="s">
        <v>123</v>
      </c>
      <c r="D118" s="3" t="s">
        <v>7</v>
      </c>
      <c r="E118" s="6">
        <v>5.0</v>
      </c>
      <c r="F118" s="5">
        <f>IFERROR(__xludf.DUMMYFUNCTION("""COMPUTED_VALUE"""),2.1941727999947)</f>
        <v>2.1941728</v>
      </c>
    </row>
    <row r="119">
      <c r="A119" s="5" t="str">
        <f t="shared" si="1"/>
        <v>P1</v>
      </c>
      <c r="B119" s="1">
        <v>147.0</v>
      </c>
      <c r="C119" s="2" t="s">
        <v>124</v>
      </c>
      <c r="D119" s="3" t="s">
        <v>7</v>
      </c>
      <c r="E119" s="6">
        <v>5.0</v>
      </c>
      <c r="F119" s="5">
        <f>IFERROR(__xludf.DUMMYFUNCTION("""COMPUTED_VALUE"""),1.88991040000109)</f>
        <v>1.8899104</v>
      </c>
    </row>
    <row r="120">
      <c r="A120" s="5" t="str">
        <f t="shared" si="1"/>
        <v>P1</v>
      </c>
      <c r="B120" s="1">
        <v>148.0</v>
      </c>
      <c r="C120" s="2" t="s">
        <v>125</v>
      </c>
      <c r="D120" s="3" t="s">
        <v>7</v>
      </c>
      <c r="E120" s="6">
        <v>5.0</v>
      </c>
      <c r="F120" s="5">
        <f>IFERROR(__xludf.DUMMYFUNCTION("""COMPUTED_VALUE"""),1.34728449999238)</f>
        <v>1.3472845</v>
      </c>
    </row>
    <row r="121">
      <c r="A121" s="5" t="str">
        <f t="shared" si="1"/>
        <v>P1</v>
      </c>
      <c r="B121" s="1">
        <v>149.0</v>
      </c>
      <c r="C121" s="2" t="s">
        <v>126</v>
      </c>
      <c r="D121" s="3" t="s">
        <v>7</v>
      </c>
      <c r="E121" s="6">
        <v>10.0</v>
      </c>
      <c r="F121" s="5">
        <f>IFERROR(__xludf.DUMMYFUNCTION("""COMPUTED_VALUE"""),2.52885210000386)</f>
        <v>2.5288521</v>
      </c>
    </row>
    <row r="122">
      <c r="A122" s="5" t="str">
        <f t="shared" si="1"/>
        <v>P1</v>
      </c>
      <c r="B122" s="1">
        <v>150.0</v>
      </c>
      <c r="C122" s="2" t="s">
        <v>127</v>
      </c>
      <c r="D122" s="3" t="s">
        <v>7</v>
      </c>
      <c r="E122" s="6">
        <v>5.0</v>
      </c>
      <c r="F122" s="5">
        <f>IFERROR(__xludf.DUMMYFUNCTION("""COMPUTED_VALUE"""),1.60033830000611)</f>
        <v>1.6003383</v>
      </c>
    </row>
    <row r="123">
      <c r="A123" s="5" t="str">
        <f t="shared" si="1"/>
        <v>P1</v>
      </c>
      <c r="B123" s="1">
        <v>152.0</v>
      </c>
      <c r="C123" s="2" t="s">
        <v>128</v>
      </c>
      <c r="D123" s="3" t="s">
        <v>7</v>
      </c>
      <c r="E123" s="6">
        <v>10.0</v>
      </c>
      <c r="F123" s="5">
        <f>IFERROR(__xludf.DUMMYFUNCTION("""COMPUTED_VALUE"""),2.30217299998912)</f>
        <v>2.302173</v>
      </c>
    </row>
    <row r="124">
      <c r="A124" s="5" t="str">
        <f t="shared" si="1"/>
        <v>P1</v>
      </c>
      <c r="B124" s="1">
        <v>153.0</v>
      </c>
      <c r="C124" s="2" t="s">
        <v>129</v>
      </c>
      <c r="D124" s="3" t="s">
        <v>7</v>
      </c>
      <c r="E124" s="6">
        <v>5.0</v>
      </c>
      <c r="F124" s="5">
        <f>IFERROR(__xludf.DUMMYFUNCTION("""COMPUTED_VALUE"""),1.30303249999997)</f>
        <v>1.3030325</v>
      </c>
    </row>
    <row r="125">
      <c r="A125" s="5" t="str">
        <f t="shared" si="1"/>
        <v>P1</v>
      </c>
      <c r="B125" s="1">
        <v>155.0</v>
      </c>
      <c r="C125" s="2" t="s">
        <v>130</v>
      </c>
      <c r="D125" s="3" t="s">
        <v>7</v>
      </c>
      <c r="E125" s="6">
        <v>5.0</v>
      </c>
      <c r="F125" s="5">
        <f>IFERROR(__xludf.DUMMYFUNCTION("""COMPUTED_VALUE"""),1.46551439999893)</f>
        <v>1.4655144</v>
      </c>
    </row>
    <row r="126">
      <c r="A126" s="5" t="str">
        <f t="shared" si="1"/>
        <v>P1</v>
      </c>
      <c r="B126" s="1">
        <v>156.0</v>
      </c>
      <c r="C126" s="2" t="s">
        <v>131</v>
      </c>
      <c r="D126" s="3" t="s">
        <v>7</v>
      </c>
      <c r="E126" s="6">
        <v>5.0</v>
      </c>
      <c r="F126" s="5">
        <f>IFERROR(__xludf.DUMMYFUNCTION("""COMPUTED_VALUE"""),1.69138000000384)</f>
        <v>1.69138</v>
      </c>
    </row>
    <row r="127">
      <c r="A127" s="5" t="str">
        <f t="shared" si="1"/>
        <v>P1</v>
      </c>
      <c r="B127" s="1">
        <v>157.0</v>
      </c>
      <c r="C127" s="2" t="s">
        <v>132</v>
      </c>
      <c r="D127" s="3" t="s">
        <v>7</v>
      </c>
      <c r="E127" s="6">
        <v>10.0</v>
      </c>
      <c r="F127" s="5">
        <f>IFERROR(__xludf.DUMMYFUNCTION("""COMPUTED_VALUE"""),1.8042404000007)</f>
        <v>1.8042404</v>
      </c>
    </row>
    <row r="128">
      <c r="A128" s="5" t="str">
        <f t="shared" si="1"/>
        <v>P1</v>
      </c>
      <c r="B128" s="1">
        <v>158.0</v>
      </c>
      <c r="C128" s="2" t="s">
        <v>133</v>
      </c>
      <c r="D128" s="3" t="s">
        <v>7</v>
      </c>
      <c r="E128" s="6">
        <v>10.0</v>
      </c>
      <c r="F128" s="5">
        <f>IFERROR(__xludf.DUMMYFUNCTION("""COMPUTED_VALUE"""),2.15016560000367)</f>
        <v>2.1501656</v>
      </c>
    </row>
    <row r="129">
      <c r="A129" s="5" t="str">
        <f t="shared" si="1"/>
        <v>P1</v>
      </c>
      <c r="B129" s="1">
        <v>159.0</v>
      </c>
      <c r="C129" s="2" t="s">
        <v>134</v>
      </c>
      <c r="D129" s="3" t="s">
        <v>7</v>
      </c>
      <c r="E129" s="6">
        <v>5.0</v>
      </c>
      <c r="F129" s="5">
        <f>IFERROR(__xludf.DUMMYFUNCTION("""COMPUTED_VALUE"""),2.06893069999932)</f>
        <v>2.0689307</v>
      </c>
    </row>
    <row r="130">
      <c r="A130" s="5" t="str">
        <f t="shared" si="1"/>
        <v>P1</v>
      </c>
      <c r="B130" s="1">
        <v>160.0</v>
      </c>
      <c r="C130" s="2" t="s">
        <v>135</v>
      </c>
      <c r="D130" s="3" t="s">
        <v>7</v>
      </c>
      <c r="E130" s="6">
        <v>10.0</v>
      </c>
      <c r="F130" s="5">
        <f>IFERROR(__xludf.DUMMYFUNCTION("""COMPUTED_VALUE"""),3.26918149999983)</f>
        <v>3.2691815</v>
      </c>
    </row>
    <row r="131">
      <c r="A131" s="5" t="str">
        <f t="shared" si="1"/>
        <v>P1</v>
      </c>
      <c r="B131" s="1">
        <v>161.0</v>
      </c>
      <c r="C131" s="2" t="s">
        <v>136</v>
      </c>
      <c r="D131" s="3" t="s">
        <v>7</v>
      </c>
      <c r="E131" s="6">
        <v>10.0</v>
      </c>
      <c r="F131" s="5">
        <f>IFERROR(__xludf.DUMMYFUNCTION("""COMPUTED_VALUE"""),2.25018450000789)</f>
        <v>2.2501845</v>
      </c>
    </row>
    <row r="132">
      <c r="A132" s="5" t="str">
        <f t="shared" si="1"/>
        <v>P1</v>
      </c>
      <c r="B132" s="1">
        <v>163.0</v>
      </c>
      <c r="C132" s="2" t="s">
        <v>137</v>
      </c>
      <c r="D132" s="3" t="s">
        <v>7</v>
      </c>
      <c r="E132" s="6">
        <v>5.0</v>
      </c>
      <c r="F132" s="5">
        <f>IFERROR(__xludf.DUMMYFUNCTION("""COMPUTED_VALUE"""),1.76363160001346)</f>
        <v>1.7636316</v>
      </c>
    </row>
    <row r="133">
      <c r="A133" s="5" t="str">
        <f t="shared" si="1"/>
        <v>P1</v>
      </c>
      <c r="B133" s="1">
        <v>164.0</v>
      </c>
      <c r="C133" s="2" t="s">
        <v>138</v>
      </c>
      <c r="D133" s="3" t="s">
        <v>7</v>
      </c>
      <c r="E133" s="6">
        <v>10.0</v>
      </c>
      <c r="F133" s="5">
        <f>IFERROR(__xludf.DUMMYFUNCTION("""COMPUTED_VALUE"""),2.35064570000395)</f>
        <v>2.3506457</v>
      </c>
    </row>
    <row r="134">
      <c r="A134" s="5" t="str">
        <f t="shared" si="1"/>
        <v>P1</v>
      </c>
      <c r="B134" s="1">
        <v>165.0</v>
      </c>
      <c r="C134" s="2" t="s">
        <v>139</v>
      </c>
      <c r="D134" s="3" t="s">
        <v>7</v>
      </c>
      <c r="E134" s="6">
        <v>5.0</v>
      </c>
      <c r="F134" s="5">
        <f>IFERROR(__xludf.DUMMYFUNCTION("""COMPUTED_VALUE"""),2.75066079999669)</f>
        <v>2.7506608</v>
      </c>
    </row>
    <row r="135">
      <c r="A135" s="5" t="str">
        <f t="shared" si="1"/>
        <v>P1</v>
      </c>
      <c r="B135" s="1">
        <v>166.0</v>
      </c>
      <c r="C135" s="2" t="s">
        <v>140</v>
      </c>
      <c r="D135" s="3" t="s">
        <v>7</v>
      </c>
      <c r="E135" s="6">
        <v>10.0</v>
      </c>
      <c r="F135" s="5">
        <f>IFERROR(__xludf.DUMMYFUNCTION("""COMPUTED_VALUE"""),1.78951529999903)</f>
        <v>1.7895153</v>
      </c>
    </row>
    <row r="136">
      <c r="A136" s="5" t="str">
        <f t="shared" si="1"/>
        <v>P1</v>
      </c>
      <c r="B136" s="1">
        <v>167.0</v>
      </c>
      <c r="C136" s="2" t="s">
        <v>141</v>
      </c>
      <c r="D136" s="3" t="s">
        <v>7</v>
      </c>
      <c r="E136" s="6">
        <v>5.0</v>
      </c>
      <c r="F136" s="5">
        <f>IFERROR(__xludf.DUMMYFUNCTION("""COMPUTED_VALUE"""),3.46115570000256)</f>
        <v>3.4611557</v>
      </c>
    </row>
    <row r="137">
      <c r="A137" s="5" t="str">
        <f t="shared" si="1"/>
        <v>P1</v>
      </c>
      <c r="B137" s="1">
        <v>168.0</v>
      </c>
      <c r="C137" s="2" t="s">
        <v>142</v>
      </c>
      <c r="D137" s="3" t="s">
        <v>7</v>
      </c>
      <c r="E137" s="6">
        <v>10.0</v>
      </c>
      <c r="F137" s="5">
        <f>IFERROR(__xludf.DUMMYFUNCTION("""COMPUTED_VALUE"""),3.98662569999578)</f>
        <v>3.9866257</v>
      </c>
    </row>
    <row r="138">
      <c r="A138" s="5" t="str">
        <f t="shared" si="1"/>
        <v>P1</v>
      </c>
      <c r="B138" s="1">
        <v>169.0</v>
      </c>
      <c r="C138" s="2" t="s">
        <v>143</v>
      </c>
      <c r="D138" s="3" t="s">
        <v>7</v>
      </c>
      <c r="E138" s="6">
        <v>5.0</v>
      </c>
      <c r="F138" s="5">
        <f>IFERROR(__xludf.DUMMYFUNCTION("""COMPUTED_VALUE"""),1.59416260001307)</f>
        <v>1.5941626</v>
      </c>
    </row>
    <row r="139">
      <c r="A139" s="5" t="str">
        <f t="shared" si="1"/>
        <v>P1</v>
      </c>
      <c r="B139" s="1">
        <v>172.0</v>
      </c>
      <c r="C139" s="2" t="s">
        <v>144</v>
      </c>
      <c r="D139" s="3" t="s">
        <v>7</v>
      </c>
      <c r="E139" s="6">
        <v>10.0</v>
      </c>
      <c r="F139" s="5">
        <f>IFERROR(__xludf.DUMMYFUNCTION("""COMPUTED_VALUE"""),1.72227679999195)</f>
        <v>1.7222768</v>
      </c>
    </row>
    <row r="140">
      <c r="A140" s="5" t="str">
        <f t="shared" si="1"/>
        <v>P1</v>
      </c>
      <c r="B140" s="1">
        <v>173.0</v>
      </c>
      <c r="C140" s="2" t="s">
        <v>145</v>
      </c>
      <c r="D140" s="3" t="s">
        <v>7</v>
      </c>
      <c r="E140" s="6">
        <v>5.0</v>
      </c>
      <c r="F140" s="5">
        <f>IFERROR(__xludf.DUMMYFUNCTION("""COMPUTED_VALUE"""),2.54477580000821)</f>
        <v>2.5447758</v>
      </c>
    </row>
    <row r="141">
      <c r="A141" s="5" t="str">
        <f t="shared" si="1"/>
        <v>P1</v>
      </c>
      <c r="B141" s="1">
        <v>174.0</v>
      </c>
      <c r="C141" s="2" t="s">
        <v>146</v>
      </c>
      <c r="D141" s="3" t="s">
        <v>7</v>
      </c>
      <c r="E141" s="6">
        <v>5.0</v>
      </c>
      <c r="F141" s="5">
        <f>IFERROR(__xludf.DUMMYFUNCTION("""COMPUTED_VALUE"""),1.80853770000976)</f>
        <v>1.8085377</v>
      </c>
    </row>
    <row r="142">
      <c r="A142" s="5" t="str">
        <f t="shared" si="1"/>
        <v>P1</v>
      </c>
      <c r="B142" s="1">
        <v>175.0</v>
      </c>
      <c r="C142" s="2" t="s">
        <v>147</v>
      </c>
      <c r="D142" s="3" t="s">
        <v>7</v>
      </c>
      <c r="E142" s="6">
        <v>10.0</v>
      </c>
      <c r="F142" s="5">
        <f>IFERROR(__xludf.DUMMYFUNCTION("""COMPUTED_VALUE"""),2.53351079999993)</f>
        <v>2.5335108</v>
      </c>
    </row>
    <row r="143">
      <c r="A143" s="5" t="str">
        <f t="shared" si="1"/>
        <v>P1</v>
      </c>
      <c r="B143" s="1">
        <v>176.0</v>
      </c>
      <c r="C143" s="2" t="s">
        <v>148</v>
      </c>
      <c r="D143" s="3" t="s">
        <v>7</v>
      </c>
      <c r="E143" s="6">
        <v>5.0</v>
      </c>
      <c r="F143" s="5">
        <f>IFERROR(__xludf.DUMMYFUNCTION("""COMPUTED_VALUE"""),2.28242289999616)</f>
        <v>2.2824229</v>
      </c>
    </row>
    <row r="144">
      <c r="A144" s="5" t="str">
        <f t="shared" si="1"/>
        <v>P1</v>
      </c>
      <c r="B144" s="1">
        <v>177.0</v>
      </c>
      <c r="C144" s="2" t="s">
        <v>149</v>
      </c>
      <c r="D144" s="3" t="s">
        <v>7</v>
      </c>
      <c r="E144" s="6">
        <v>5.0</v>
      </c>
      <c r="F144" s="5">
        <f>IFERROR(__xludf.DUMMYFUNCTION("""COMPUTED_VALUE"""),1.31576670000504)</f>
        <v>1.3157667</v>
      </c>
    </row>
    <row r="145">
      <c r="A145" s="5" t="str">
        <f t="shared" si="1"/>
        <v>P1</v>
      </c>
      <c r="B145" s="1">
        <v>179.0</v>
      </c>
      <c r="C145" s="2" t="s">
        <v>150</v>
      </c>
      <c r="D145" s="3" t="s">
        <v>7</v>
      </c>
      <c r="E145" s="6">
        <v>10.0</v>
      </c>
      <c r="F145" s="5">
        <f>IFERROR(__xludf.DUMMYFUNCTION("""COMPUTED_VALUE"""),2.22998810000717)</f>
        <v>2.2299881</v>
      </c>
    </row>
    <row r="146">
      <c r="A146" s="5" t="str">
        <f t="shared" si="1"/>
        <v>P1</v>
      </c>
      <c r="B146" s="1">
        <v>182.0</v>
      </c>
      <c r="C146" s="2" t="s">
        <v>151</v>
      </c>
      <c r="D146" s="3" t="s">
        <v>7</v>
      </c>
      <c r="E146" s="6">
        <v>5.0</v>
      </c>
      <c r="F146" s="5">
        <f>IFERROR(__xludf.DUMMYFUNCTION("""COMPUTED_VALUE"""),1.33163529999728)</f>
        <v>1.3316353</v>
      </c>
    </row>
    <row r="147">
      <c r="A147" s="5" t="str">
        <f t="shared" si="1"/>
        <v>P1</v>
      </c>
      <c r="B147" s="1">
        <v>183.0</v>
      </c>
      <c r="C147" s="2" t="s">
        <v>152</v>
      </c>
      <c r="D147" s="3" t="s">
        <v>7</v>
      </c>
      <c r="E147" s="6">
        <v>10.0</v>
      </c>
      <c r="F147" s="5">
        <f>IFERROR(__xludf.DUMMYFUNCTION("""COMPUTED_VALUE"""),1.25207760000193)</f>
        <v>1.2520776</v>
      </c>
    </row>
    <row r="148">
      <c r="A148" s="5" t="str">
        <f t="shared" si="1"/>
        <v>P1</v>
      </c>
      <c r="B148" s="1">
        <v>184.0</v>
      </c>
      <c r="C148" s="2" t="s">
        <v>153</v>
      </c>
      <c r="D148" s="3" t="s">
        <v>7</v>
      </c>
      <c r="E148" s="6">
        <v>5.0</v>
      </c>
      <c r="F148" s="5">
        <f>IFERROR(__xludf.DUMMYFUNCTION("""COMPUTED_VALUE"""),1.68385729999863)</f>
        <v>1.6838573</v>
      </c>
    </row>
    <row r="149">
      <c r="A149" s="5" t="str">
        <f t="shared" si="1"/>
        <v>P1</v>
      </c>
      <c r="B149" s="1">
        <v>185.0</v>
      </c>
      <c r="C149" s="2" t="s">
        <v>154</v>
      </c>
      <c r="D149" s="3" t="s">
        <v>7</v>
      </c>
      <c r="E149" s="6">
        <v>10.0</v>
      </c>
      <c r="F149" s="5">
        <f>IFERROR(__xludf.DUMMYFUNCTION("""COMPUTED_VALUE"""),1.31793710000056)</f>
        <v>1.3179371</v>
      </c>
    </row>
    <row r="150">
      <c r="A150" s="5" t="str">
        <f t="shared" si="1"/>
        <v>P1</v>
      </c>
      <c r="B150" s="1">
        <v>186.0</v>
      </c>
      <c r="C150" s="2" t="s">
        <v>155</v>
      </c>
      <c r="D150" s="3" t="s">
        <v>7</v>
      </c>
      <c r="E150" s="6">
        <v>5.0</v>
      </c>
      <c r="F150" s="5">
        <f>IFERROR(__xludf.DUMMYFUNCTION("""COMPUTED_VALUE"""),1.54977420000068)</f>
        <v>1.5497742</v>
      </c>
    </row>
    <row r="151">
      <c r="A151" s="5" t="str">
        <f t="shared" si="1"/>
        <v>P1</v>
      </c>
      <c r="B151" s="1">
        <v>187.0</v>
      </c>
      <c r="C151" s="2" t="s">
        <v>156</v>
      </c>
      <c r="D151" s="3" t="s">
        <v>7</v>
      </c>
      <c r="E151" s="6">
        <v>5.0</v>
      </c>
      <c r="F151" s="5">
        <f>IFERROR(__xludf.DUMMYFUNCTION("""COMPUTED_VALUE"""),1.28079480001179)</f>
        <v>1.2807948</v>
      </c>
    </row>
    <row r="152">
      <c r="A152" s="5" t="str">
        <f t="shared" si="1"/>
        <v>P1</v>
      </c>
      <c r="B152" s="1">
        <v>188.0</v>
      </c>
      <c r="C152" s="2" t="s">
        <v>157</v>
      </c>
      <c r="D152" s="3" t="s">
        <v>7</v>
      </c>
      <c r="E152" s="6">
        <v>5.0</v>
      </c>
      <c r="F152" s="5">
        <f>IFERROR(__xludf.DUMMYFUNCTION("""COMPUTED_VALUE"""),2.21604320000915)</f>
        <v>2.2160432</v>
      </c>
    </row>
    <row r="153">
      <c r="A153" s="5" t="str">
        <f t="shared" si="1"/>
        <v>P1</v>
      </c>
      <c r="B153" s="1">
        <v>189.0</v>
      </c>
      <c r="C153" s="2" t="s">
        <v>158</v>
      </c>
      <c r="D153" s="3" t="s">
        <v>7</v>
      </c>
      <c r="E153" s="6">
        <v>10.0</v>
      </c>
      <c r="F153" s="5">
        <f>IFERROR(__xludf.DUMMYFUNCTION("""COMPUTED_VALUE"""),2.01378409999597)</f>
        <v>2.0137841</v>
      </c>
    </row>
    <row r="154">
      <c r="A154" s="5" t="str">
        <f t="shared" si="1"/>
        <v>P1</v>
      </c>
      <c r="B154" s="1">
        <v>190.0</v>
      </c>
      <c r="C154" s="2" t="s">
        <v>159</v>
      </c>
      <c r="D154" s="3" t="s">
        <v>7</v>
      </c>
      <c r="E154" s="6">
        <v>5.0</v>
      </c>
      <c r="F154" s="5">
        <f>IFERROR(__xludf.DUMMYFUNCTION("""COMPUTED_VALUE"""),1.83442179999838)</f>
        <v>1.8344218</v>
      </c>
    </row>
    <row r="155">
      <c r="A155" s="5" t="str">
        <f t="shared" si="1"/>
        <v>P1</v>
      </c>
      <c r="B155" s="1">
        <v>191.0</v>
      </c>
      <c r="C155" s="2" t="s">
        <v>160</v>
      </c>
      <c r="D155" s="3" t="s">
        <v>7</v>
      </c>
      <c r="E155" s="6">
        <v>10.0</v>
      </c>
      <c r="F155" s="5">
        <f>IFERROR(__xludf.DUMMYFUNCTION("""COMPUTED_VALUE"""),1.6411003999965)</f>
        <v>1.6411004</v>
      </c>
    </row>
    <row r="156">
      <c r="A156" s="5" t="str">
        <f t="shared" si="1"/>
        <v>P1</v>
      </c>
      <c r="B156" s="1">
        <v>192.0</v>
      </c>
      <c r="C156" s="2" t="s">
        <v>161</v>
      </c>
      <c r="D156" s="3" t="s">
        <v>7</v>
      </c>
      <c r="E156" s="6">
        <v>10.0</v>
      </c>
      <c r="F156" s="5">
        <f>IFERROR(__xludf.DUMMYFUNCTION("""COMPUTED_VALUE"""),2.02127549999568)</f>
        <v>2.0212755</v>
      </c>
    </row>
    <row r="157">
      <c r="A157" s="5" t="str">
        <f t="shared" si="1"/>
        <v>P1</v>
      </c>
      <c r="B157" s="1">
        <v>194.0</v>
      </c>
      <c r="C157" s="2" t="s">
        <v>162</v>
      </c>
      <c r="D157" s="3" t="s">
        <v>7</v>
      </c>
      <c r="E157" s="6">
        <v>5.0</v>
      </c>
      <c r="F157" s="5">
        <f>IFERROR(__xludf.DUMMYFUNCTION("""COMPUTED_VALUE"""),2.73210170000675)</f>
        <v>2.7321017</v>
      </c>
    </row>
    <row r="158">
      <c r="A158" s="5" t="str">
        <f t="shared" si="1"/>
        <v>P1</v>
      </c>
      <c r="B158" s="1">
        <v>195.0</v>
      </c>
      <c r="C158" s="2" t="s">
        <v>163</v>
      </c>
      <c r="D158" s="3" t="s">
        <v>7</v>
      </c>
      <c r="E158" s="6">
        <v>5.0</v>
      </c>
      <c r="F158" s="5">
        <f>IFERROR(__xludf.DUMMYFUNCTION("""COMPUTED_VALUE"""),1.46558430000732)</f>
        <v>1.4655843</v>
      </c>
    </row>
    <row r="159">
      <c r="A159" s="5" t="str">
        <f t="shared" si="1"/>
        <v>P1</v>
      </c>
      <c r="B159" s="1">
        <v>196.0</v>
      </c>
      <c r="C159" s="2" t="s">
        <v>164</v>
      </c>
      <c r="D159" s="3" t="s">
        <v>7</v>
      </c>
      <c r="E159" s="6">
        <v>10.0</v>
      </c>
      <c r="F159" s="5">
        <f>IFERROR(__xludf.DUMMYFUNCTION("""COMPUTED_VALUE"""),2.86982560000615)</f>
        <v>2.8698256</v>
      </c>
    </row>
    <row r="160">
      <c r="A160" s="5" t="str">
        <f t="shared" si="1"/>
        <v>P1</v>
      </c>
      <c r="B160" s="1">
        <v>197.0</v>
      </c>
      <c r="C160" s="2" t="s">
        <v>165</v>
      </c>
      <c r="D160" s="3" t="s">
        <v>7</v>
      </c>
      <c r="E160" s="6">
        <v>10.0</v>
      </c>
      <c r="F160" s="5">
        <f>IFERROR(__xludf.DUMMYFUNCTION("""COMPUTED_VALUE"""),3.73866509999788)</f>
        <v>3.7386651</v>
      </c>
    </row>
    <row r="161">
      <c r="A161" s="5" t="str">
        <f t="shared" si="1"/>
        <v>P1</v>
      </c>
      <c r="B161" s="1">
        <v>198.0</v>
      </c>
      <c r="C161" s="2" t="s">
        <v>166</v>
      </c>
      <c r="D161" s="3" t="s">
        <v>7</v>
      </c>
      <c r="E161" s="6">
        <v>10.0</v>
      </c>
      <c r="F161" s="5">
        <f>IFERROR(__xludf.DUMMYFUNCTION("""COMPUTED_VALUE"""),2.26096530001086)</f>
        <v>2.2609653</v>
      </c>
    </row>
    <row r="162">
      <c r="A162" s="5" t="str">
        <f t="shared" ref="A162:A322" si="2"> "P2"</f>
        <v>P2</v>
      </c>
      <c r="B162" s="7">
        <v>0.0</v>
      </c>
      <c r="C162" s="8" t="s">
        <v>167</v>
      </c>
      <c r="D162" s="9" t="s">
        <v>7</v>
      </c>
      <c r="E162" s="10">
        <v>10.0</v>
      </c>
      <c r="F162" s="5">
        <f>IFERROR(__xludf.DUMMYFUNCTION("""COMPUTED_VALUE"""),1.47077759999956)</f>
        <v>1.4707776</v>
      </c>
    </row>
    <row r="163">
      <c r="A163" s="5" t="str">
        <f t="shared" si="2"/>
        <v>P2</v>
      </c>
      <c r="B163" s="7">
        <v>2.0</v>
      </c>
      <c r="C163" s="8" t="s">
        <v>168</v>
      </c>
      <c r="D163" s="9" t="s">
        <v>7</v>
      </c>
      <c r="E163" s="10">
        <v>10.0</v>
      </c>
      <c r="F163" s="5">
        <f>IFERROR(__xludf.DUMMYFUNCTION("""COMPUTED_VALUE"""),1.51665359998878)</f>
        <v>1.5166536</v>
      </c>
    </row>
    <row r="164">
      <c r="A164" s="5" t="str">
        <f t="shared" si="2"/>
        <v>P2</v>
      </c>
      <c r="B164" s="7">
        <v>4.0</v>
      </c>
      <c r="C164" s="8" t="s">
        <v>169</v>
      </c>
      <c r="D164" s="9" t="s">
        <v>7</v>
      </c>
      <c r="E164" s="10">
        <v>5.0</v>
      </c>
      <c r="F164" s="5">
        <f>IFERROR(__xludf.DUMMYFUNCTION("""COMPUTED_VALUE"""),2.35793820000253)</f>
        <v>2.3579382</v>
      </c>
    </row>
    <row r="165">
      <c r="A165" s="5" t="str">
        <f t="shared" si="2"/>
        <v>P2</v>
      </c>
      <c r="B165" s="7">
        <v>5.0</v>
      </c>
      <c r="C165" s="8" t="s">
        <v>170</v>
      </c>
      <c r="D165" s="9" t="s">
        <v>7</v>
      </c>
      <c r="E165" s="10">
        <v>10.0</v>
      </c>
      <c r="F165" s="5">
        <f>IFERROR(__xludf.DUMMYFUNCTION("""COMPUTED_VALUE"""),1.71448260000033)</f>
        <v>1.7144826</v>
      </c>
    </row>
    <row r="166">
      <c r="A166" s="5" t="str">
        <f t="shared" si="2"/>
        <v>P2</v>
      </c>
      <c r="B166" s="7">
        <v>6.0</v>
      </c>
      <c r="C166" s="8" t="s">
        <v>171</v>
      </c>
      <c r="D166" s="9" t="s">
        <v>7</v>
      </c>
      <c r="E166" s="10">
        <v>5.0</v>
      </c>
      <c r="F166" s="5">
        <f>IFERROR(__xludf.DUMMYFUNCTION("""COMPUTED_VALUE"""),1.15737460000673)</f>
        <v>1.1573746</v>
      </c>
    </row>
    <row r="167">
      <c r="A167" s="5" t="str">
        <f t="shared" si="2"/>
        <v>P2</v>
      </c>
      <c r="B167" s="7">
        <v>7.0</v>
      </c>
      <c r="C167" s="8" t="s">
        <v>172</v>
      </c>
      <c r="D167" s="9" t="s">
        <v>7</v>
      </c>
      <c r="E167" s="10">
        <v>10.0</v>
      </c>
      <c r="F167" s="5">
        <f>IFERROR(__xludf.DUMMYFUNCTION("""COMPUTED_VALUE"""),1.83105600000999)</f>
        <v>1.831056</v>
      </c>
    </row>
    <row r="168">
      <c r="A168" s="5" t="str">
        <f t="shared" si="2"/>
        <v>P2</v>
      </c>
      <c r="B168" s="7">
        <v>10.0</v>
      </c>
      <c r="C168" s="8" t="s">
        <v>173</v>
      </c>
      <c r="D168" s="9" t="s">
        <v>7</v>
      </c>
      <c r="E168" s="10">
        <v>10.0</v>
      </c>
      <c r="F168" s="5">
        <f>IFERROR(__xludf.DUMMYFUNCTION("""COMPUTED_VALUE"""),1.19096359999093)</f>
        <v>1.1909636</v>
      </c>
    </row>
    <row r="169">
      <c r="A169" s="5" t="str">
        <f t="shared" si="2"/>
        <v>P2</v>
      </c>
      <c r="B169" s="7">
        <v>11.0</v>
      </c>
      <c r="C169" s="8" t="s">
        <v>174</v>
      </c>
      <c r="D169" s="9" t="s">
        <v>7</v>
      </c>
      <c r="E169" s="10">
        <v>5.0</v>
      </c>
      <c r="F169" s="5">
        <f>IFERROR(__xludf.DUMMYFUNCTION("""COMPUTED_VALUE"""),1.4477184999996)</f>
        <v>1.4477185</v>
      </c>
    </row>
    <row r="170">
      <c r="A170" s="5" t="str">
        <f t="shared" si="2"/>
        <v>P2</v>
      </c>
      <c r="B170" s="7">
        <v>12.0</v>
      </c>
      <c r="C170" s="8" t="s">
        <v>175</v>
      </c>
      <c r="D170" s="9" t="s">
        <v>7</v>
      </c>
      <c r="E170" s="10">
        <v>5.0</v>
      </c>
      <c r="F170" s="5">
        <f>IFERROR(__xludf.DUMMYFUNCTION("""COMPUTED_VALUE"""),1.83072810000157)</f>
        <v>1.8307281</v>
      </c>
    </row>
    <row r="171">
      <c r="A171" s="5" t="str">
        <f t="shared" si="2"/>
        <v>P2</v>
      </c>
      <c r="B171" s="7">
        <v>13.0</v>
      </c>
      <c r="C171" s="8" t="s">
        <v>176</v>
      </c>
      <c r="D171" s="9" t="s">
        <v>7</v>
      </c>
      <c r="E171" s="10">
        <v>5.0</v>
      </c>
      <c r="F171" s="5">
        <f>IFERROR(__xludf.DUMMYFUNCTION("""COMPUTED_VALUE"""),1.93067899999732)</f>
        <v>1.930679</v>
      </c>
    </row>
    <row r="172">
      <c r="A172" s="5" t="str">
        <f t="shared" si="2"/>
        <v>P2</v>
      </c>
      <c r="B172" s="7">
        <v>14.0</v>
      </c>
      <c r="C172" s="8" t="s">
        <v>177</v>
      </c>
      <c r="D172" s="9" t="s">
        <v>7</v>
      </c>
      <c r="E172" s="10">
        <v>5.0</v>
      </c>
      <c r="F172" s="5">
        <f>IFERROR(__xludf.DUMMYFUNCTION("""COMPUTED_VALUE"""),1.50811239999893)</f>
        <v>1.5081124</v>
      </c>
    </row>
    <row r="173">
      <c r="A173" s="5" t="str">
        <f t="shared" si="2"/>
        <v>P2</v>
      </c>
      <c r="B173" s="7">
        <v>16.0</v>
      </c>
      <c r="C173" s="8" t="s">
        <v>178</v>
      </c>
      <c r="D173" s="9" t="s">
        <v>7</v>
      </c>
      <c r="E173" s="10">
        <v>10.0</v>
      </c>
      <c r="F173" s="5">
        <f>IFERROR(__xludf.DUMMYFUNCTION("""COMPUTED_VALUE"""),2.04183570000168)</f>
        <v>2.0418357</v>
      </c>
    </row>
    <row r="174">
      <c r="A174" s="5" t="str">
        <f t="shared" si="2"/>
        <v>P2</v>
      </c>
      <c r="B174" s="7">
        <v>17.0</v>
      </c>
      <c r="C174" s="8" t="s">
        <v>179</v>
      </c>
      <c r="D174" s="9" t="s">
        <v>7</v>
      </c>
      <c r="E174" s="10">
        <v>10.0</v>
      </c>
      <c r="F174" s="5">
        <f>IFERROR(__xludf.DUMMYFUNCTION("""COMPUTED_VALUE"""),2.61414249999506)</f>
        <v>2.6141425</v>
      </c>
    </row>
    <row r="175">
      <c r="A175" s="5" t="str">
        <f t="shared" si="2"/>
        <v>P2</v>
      </c>
      <c r="B175" s="7">
        <v>19.0</v>
      </c>
      <c r="C175" s="8" t="s">
        <v>180</v>
      </c>
      <c r="D175" s="9" t="s">
        <v>7</v>
      </c>
      <c r="E175" s="10">
        <v>10.0</v>
      </c>
      <c r="F175" s="5">
        <f>IFERROR(__xludf.DUMMYFUNCTION("""COMPUTED_VALUE"""),1.91919440000492)</f>
        <v>1.9191944</v>
      </c>
    </row>
    <row r="176">
      <c r="A176" s="5" t="str">
        <f t="shared" si="2"/>
        <v>P2</v>
      </c>
      <c r="B176" s="7">
        <v>20.0</v>
      </c>
      <c r="C176" s="8" t="s">
        <v>181</v>
      </c>
      <c r="D176" s="9" t="s">
        <v>7</v>
      </c>
      <c r="E176" s="10">
        <v>10.0</v>
      </c>
      <c r="F176" s="5">
        <f>IFERROR(__xludf.DUMMYFUNCTION("""COMPUTED_VALUE"""),1.57138289998692)</f>
        <v>1.5713829</v>
      </c>
    </row>
    <row r="177">
      <c r="A177" s="5" t="str">
        <f t="shared" si="2"/>
        <v>P2</v>
      </c>
      <c r="B177" s="7">
        <v>21.0</v>
      </c>
      <c r="C177" s="8" t="s">
        <v>182</v>
      </c>
      <c r="D177" s="9" t="s">
        <v>7</v>
      </c>
      <c r="E177" s="10">
        <v>10.0</v>
      </c>
      <c r="F177" s="5">
        <f>IFERROR(__xludf.DUMMYFUNCTION("""COMPUTED_VALUE"""),1.48078150000947)</f>
        <v>1.4807815</v>
      </c>
    </row>
    <row r="178">
      <c r="A178" s="5" t="str">
        <f t="shared" si="2"/>
        <v>P2</v>
      </c>
      <c r="B178" s="7">
        <v>22.0</v>
      </c>
      <c r="C178" s="8" t="s">
        <v>183</v>
      </c>
      <c r="D178" s="9" t="s">
        <v>7</v>
      </c>
      <c r="E178" s="10">
        <v>10.0</v>
      </c>
      <c r="F178" s="5">
        <f>IFERROR(__xludf.DUMMYFUNCTION("""COMPUTED_VALUE"""),1.88018220000958)</f>
        <v>1.8801822</v>
      </c>
    </row>
    <row r="179">
      <c r="A179" s="5" t="str">
        <f t="shared" si="2"/>
        <v>P2</v>
      </c>
      <c r="B179" s="7">
        <v>23.0</v>
      </c>
      <c r="C179" s="8" t="s">
        <v>184</v>
      </c>
      <c r="D179" s="9" t="s">
        <v>7</v>
      </c>
      <c r="E179" s="10">
        <v>10.0</v>
      </c>
      <c r="F179" s="5">
        <f>IFERROR(__xludf.DUMMYFUNCTION("""COMPUTED_VALUE"""),2.37893110000004)</f>
        <v>2.3789311</v>
      </c>
    </row>
    <row r="180">
      <c r="A180" s="5" t="str">
        <f t="shared" si="2"/>
        <v>P2</v>
      </c>
      <c r="B180" s="7">
        <v>24.0</v>
      </c>
      <c r="C180" s="8" t="s">
        <v>185</v>
      </c>
      <c r="D180" s="9" t="s">
        <v>7</v>
      </c>
      <c r="E180" s="10">
        <v>10.0</v>
      </c>
      <c r="F180" s="5">
        <f>IFERROR(__xludf.DUMMYFUNCTION("""COMPUTED_VALUE"""),1.3532411000051)</f>
        <v>1.3532411</v>
      </c>
    </row>
    <row r="181">
      <c r="A181" s="5" t="str">
        <f t="shared" si="2"/>
        <v>P2</v>
      </c>
      <c r="B181" s="7">
        <v>25.0</v>
      </c>
      <c r="C181" s="8" t="s">
        <v>186</v>
      </c>
      <c r="D181" s="9" t="s">
        <v>7</v>
      </c>
      <c r="E181" s="10">
        <v>5.0</v>
      </c>
      <c r="F181" s="5">
        <f>IFERROR(__xludf.DUMMYFUNCTION("""COMPUTED_VALUE"""),1.92904999999154)</f>
        <v>1.92905</v>
      </c>
    </row>
    <row r="182">
      <c r="A182" s="5" t="str">
        <f t="shared" si="2"/>
        <v>P2</v>
      </c>
      <c r="B182" s="7">
        <v>26.0</v>
      </c>
      <c r="C182" s="8" t="s">
        <v>187</v>
      </c>
      <c r="D182" s="9" t="s">
        <v>7</v>
      </c>
      <c r="E182" s="10">
        <v>10.0</v>
      </c>
      <c r="F182" s="5">
        <f>IFERROR(__xludf.DUMMYFUNCTION("""COMPUTED_VALUE"""),1.15682920000108)</f>
        <v>1.1568292</v>
      </c>
    </row>
    <row r="183">
      <c r="A183" s="5" t="str">
        <f t="shared" si="2"/>
        <v>P2</v>
      </c>
      <c r="B183" s="7">
        <v>27.0</v>
      </c>
      <c r="C183" s="8" t="s">
        <v>188</v>
      </c>
      <c r="D183" s="9" t="s">
        <v>7</v>
      </c>
      <c r="E183" s="10">
        <v>5.0</v>
      </c>
      <c r="F183" s="5">
        <f>IFERROR(__xludf.DUMMYFUNCTION("""COMPUTED_VALUE"""),2.15046009999059)</f>
        <v>2.1504601</v>
      </c>
    </row>
    <row r="184">
      <c r="A184" s="5" t="str">
        <f t="shared" si="2"/>
        <v>P2</v>
      </c>
      <c r="B184" s="7">
        <v>29.0</v>
      </c>
      <c r="C184" s="8" t="s">
        <v>189</v>
      </c>
      <c r="D184" s="9" t="s">
        <v>7</v>
      </c>
      <c r="E184" s="10">
        <v>10.0</v>
      </c>
      <c r="F184" s="5">
        <f>IFERROR(__xludf.DUMMYFUNCTION("""COMPUTED_VALUE"""),1.8502470000094)</f>
        <v>1.850247</v>
      </c>
    </row>
    <row r="185">
      <c r="A185" s="5" t="str">
        <f t="shared" si="2"/>
        <v>P2</v>
      </c>
      <c r="B185" s="7">
        <v>30.0</v>
      </c>
      <c r="C185" s="8" t="s">
        <v>190</v>
      </c>
      <c r="D185" s="9" t="s">
        <v>7</v>
      </c>
      <c r="E185" s="10">
        <v>10.0</v>
      </c>
      <c r="F185" s="5">
        <f>IFERROR(__xludf.DUMMYFUNCTION("""COMPUTED_VALUE"""),2.6001466000016)</f>
        <v>2.6001466</v>
      </c>
    </row>
    <row r="186">
      <c r="A186" s="5" t="str">
        <f t="shared" si="2"/>
        <v>P2</v>
      </c>
      <c r="B186" s="7">
        <v>31.0</v>
      </c>
      <c r="C186" s="8" t="s">
        <v>191</v>
      </c>
      <c r="D186" s="9" t="s">
        <v>7</v>
      </c>
      <c r="E186" s="10">
        <v>10.0</v>
      </c>
      <c r="F186" s="5">
        <f>IFERROR(__xludf.DUMMYFUNCTION("""COMPUTED_VALUE"""),2.84165889999712)</f>
        <v>2.8416589</v>
      </c>
    </row>
    <row r="187">
      <c r="A187" s="5" t="str">
        <f t="shared" si="2"/>
        <v>P2</v>
      </c>
      <c r="B187" s="7">
        <v>32.0</v>
      </c>
      <c r="C187" s="8" t="s">
        <v>192</v>
      </c>
      <c r="D187" s="9" t="s">
        <v>7</v>
      </c>
      <c r="E187" s="10">
        <v>10.0</v>
      </c>
      <c r="F187" s="5">
        <f>IFERROR(__xludf.DUMMYFUNCTION("""COMPUTED_VALUE"""),2.58881709999695)</f>
        <v>2.5888171</v>
      </c>
    </row>
    <row r="188">
      <c r="A188" s="5" t="str">
        <f t="shared" si="2"/>
        <v>P2</v>
      </c>
      <c r="B188" s="7">
        <v>33.0</v>
      </c>
      <c r="C188" s="8" t="s">
        <v>193</v>
      </c>
      <c r="D188" s="9" t="s">
        <v>7</v>
      </c>
      <c r="E188" s="10">
        <v>10.0</v>
      </c>
      <c r="F188" s="5">
        <f>IFERROR(__xludf.DUMMYFUNCTION("""COMPUTED_VALUE"""),2.46021619999373)</f>
        <v>2.4602162</v>
      </c>
    </row>
    <row r="189">
      <c r="A189" s="5" t="str">
        <f t="shared" si="2"/>
        <v>P2</v>
      </c>
      <c r="B189" s="7">
        <v>34.0</v>
      </c>
      <c r="C189" s="8" t="s">
        <v>194</v>
      </c>
      <c r="D189" s="9" t="s">
        <v>7</v>
      </c>
      <c r="E189" s="10">
        <v>10.0</v>
      </c>
      <c r="F189" s="5">
        <f>IFERROR(__xludf.DUMMYFUNCTION("""COMPUTED_VALUE"""),1.57805739999457)</f>
        <v>1.5780574</v>
      </c>
    </row>
    <row r="190">
      <c r="A190" s="5" t="str">
        <f t="shared" si="2"/>
        <v>P2</v>
      </c>
      <c r="B190" s="7">
        <v>35.0</v>
      </c>
      <c r="C190" s="8" t="s">
        <v>195</v>
      </c>
      <c r="D190" s="9" t="s">
        <v>7</v>
      </c>
      <c r="E190" s="10">
        <v>5.0</v>
      </c>
      <c r="F190" s="5">
        <f>IFERROR(__xludf.DUMMYFUNCTION("""COMPUTED_VALUE"""),1.35715690000506)</f>
        <v>1.3571569</v>
      </c>
    </row>
    <row r="191">
      <c r="A191" s="5" t="str">
        <f t="shared" si="2"/>
        <v>P2</v>
      </c>
      <c r="B191" s="7">
        <v>36.0</v>
      </c>
      <c r="C191" s="8" t="s">
        <v>196</v>
      </c>
      <c r="D191" s="9" t="s">
        <v>7</v>
      </c>
      <c r="E191" s="10">
        <v>10.0</v>
      </c>
      <c r="F191" s="5">
        <f>IFERROR(__xludf.DUMMYFUNCTION("""COMPUTED_VALUE"""),2.06613879998622)</f>
        <v>2.0661388</v>
      </c>
    </row>
    <row r="192">
      <c r="A192" s="5" t="str">
        <f t="shared" si="2"/>
        <v>P2</v>
      </c>
      <c r="B192" s="7">
        <v>37.0</v>
      </c>
      <c r="C192" s="8" t="s">
        <v>197</v>
      </c>
      <c r="D192" s="9" t="s">
        <v>7</v>
      </c>
      <c r="E192" s="10">
        <v>5.0</v>
      </c>
      <c r="F192" s="5">
        <f>IFERROR(__xludf.DUMMYFUNCTION("""COMPUTED_VALUE"""),2.88872060000721)</f>
        <v>2.8887206</v>
      </c>
    </row>
    <row r="193">
      <c r="A193" s="5" t="str">
        <f t="shared" si="2"/>
        <v>P2</v>
      </c>
      <c r="B193" s="7">
        <v>38.0</v>
      </c>
      <c r="C193" s="8" t="s">
        <v>198</v>
      </c>
      <c r="D193" s="9" t="s">
        <v>7</v>
      </c>
      <c r="E193" s="10">
        <v>10.0</v>
      </c>
      <c r="F193" s="5">
        <f>IFERROR(__xludf.DUMMYFUNCTION("""COMPUTED_VALUE"""),2.16231830000469)</f>
        <v>2.1623183</v>
      </c>
    </row>
    <row r="194">
      <c r="A194" s="5" t="str">
        <f t="shared" si="2"/>
        <v>P2</v>
      </c>
      <c r="B194" s="7">
        <v>41.0</v>
      </c>
      <c r="C194" s="8" t="s">
        <v>199</v>
      </c>
      <c r="D194" s="9" t="s">
        <v>7</v>
      </c>
      <c r="E194" s="10">
        <v>10.0</v>
      </c>
      <c r="F194" s="5">
        <f>IFERROR(__xludf.DUMMYFUNCTION("""COMPUTED_VALUE"""),2.53038820000074)</f>
        <v>2.5303882</v>
      </c>
    </row>
    <row r="195">
      <c r="A195" s="5" t="str">
        <f t="shared" si="2"/>
        <v>P2</v>
      </c>
      <c r="B195" s="7">
        <v>42.0</v>
      </c>
      <c r="C195" s="8" t="s">
        <v>200</v>
      </c>
      <c r="D195" s="9" t="s">
        <v>7</v>
      </c>
      <c r="E195" s="10">
        <v>5.0</v>
      </c>
      <c r="F195" s="5">
        <f>IFERROR(__xludf.DUMMYFUNCTION("""COMPUTED_VALUE"""),2.19857749999209)</f>
        <v>2.1985775</v>
      </c>
    </row>
    <row r="196">
      <c r="A196" s="5" t="str">
        <f t="shared" si="2"/>
        <v>P2</v>
      </c>
      <c r="B196" s="7">
        <v>43.0</v>
      </c>
      <c r="C196" s="8" t="s">
        <v>201</v>
      </c>
      <c r="D196" s="9" t="s">
        <v>7</v>
      </c>
      <c r="E196" s="10">
        <v>5.0</v>
      </c>
      <c r="F196" s="5">
        <f>IFERROR(__xludf.DUMMYFUNCTION("""COMPUTED_VALUE"""),1.7659577000013)</f>
        <v>1.7659577</v>
      </c>
    </row>
    <row r="197">
      <c r="A197" s="5" t="str">
        <f t="shared" si="2"/>
        <v>P2</v>
      </c>
      <c r="B197" s="7">
        <v>44.0</v>
      </c>
      <c r="C197" s="8" t="s">
        <v>202</v>
      </c>
      <c r="D197" s="9" t="s">
        <v>7</v>
      </c>
      <c r="E197" s="10">
        <v>10.0</v>
      </c>
      <c r="F197" s="5">
        <f>IFERROR(__xludf.DUMMYFUNCTION("""COMPUTED_VALUE"""),2.01637640000262)</f>
        <v>2.0163764</v>
      </c>
    </row>
    <row r="198">
      <c r="A198" s="5" t="str">
        <f t="shared" si="2"/>
        <v>P2</v>
      </c>
      <c r="B198" s="7">
        <v>45.0</v>
      </c>
      <c r="C198" s="8" t="s">
        <v>203</v>
      </c>
      <c r="D198" s="9" t="s">
        <v>7</v>
      </c>
      <c r="E198" s="10">
        <v>10.0</v>
      </c>
      <c r="F198" s="5">
        <f>IFERROR(__xludf.DUMMYFUNCTION("""COMPUTED_VALUE"""),1.64982140000211)</f>
        <v>1.6498214</v>
      </c>
    </row>
    <row r="199">
      <c r="A199" s="5" t="str">
        <f t="shared" si="2"/>
        <v>P2</v>
      </c>
      <c r="B199" s="7">
        <v>46.0</v>
      </c>
      <c r="C199" s="8" t="s">
        <v>204</v>
      </c>
      <c r="D199" s="9" t="s">
        <v>7</v>
      </c>
      <c r="E199" s="10">
        <v>5.0</v>
      </c>
      <c r="F199" s="5">
        <f>IFERROR(__xludf.DUMMYFUNCTION("""COMPUTED_VALUE"""),2.28218169999308)</f>
        <v>2.2821817</v>
      </c>
    </row>
    <row r="200">
      <c r="A200" s="5" t="str">
        <f t="shared" si="2"/>
        <v>P2</v>
      </c>
      <c r="B200" s="7">
        <v>47.0</v>
      </c>
      <c r="C200" s="8" t="s">
        <v>205</v>
      </c>
      <c r="D200" s="9" t="s">
        <v>7</v>
      </c>
      <c r="E200" s="10">
        <v>5.0</v>
      </c>
      <c r="F200" s="5">
        <f>IFERROR(__xludf.DUMMYFUNCTION("""COMPUTED_VALUE"""),1.58177389999036)</f>
        <v>1.5817739</v>
      </c>
    </row>
    <row r="201">
      <c r="A201" s="5" t="str">
        <f t="shared" si="2"/>
        <v>P2</v>
      </c>
      <c r="B201" s="7">
        <v>48.0</v>
      </c>
      <c r="C201" s="8" t="s">
        <v>206</v>
      </c>
      <c r="D201" s="9" t="s">
        <v>7</v>
      </c>
      <c r="E201" s="10">
        <v>5.0</v>
      </c>
      <c r="F201" s="5">
        <f>IFERROR(__xludf.DUMMYFUNCTION("""COMPUTED_VALUE"""),0.93132340000011)</f>
        <v>0.9313234</v>
      </c>
    </row>
    <row r="202">
      <c r="A202" s="5" t="str">
        <f t="shared" si="2"/>
        <v>P2</v>
      </c>
      <c r="B202" s="7">
        <v>49.0</v>
      </c>
      <c r="C202" s="8" t="s">
        <v>207</v>
      </c>
      <c r="D202" s="9" t="s">
        <v>7</v>
      </c>
      <c r="E202" s="10">
        <v>5.0</v>
      </c>
      <c r="F202" s="5">
        <f>IFERROR(__xludf.DUMMYFUNCTION("""COMPUTED_VALUE"""),3.04170379998686)</f>
        <v>3.0417038</v>
      </c>
    </row>
    <row r="203">
      <c r="A203" s="5" t="str">
        <f t="shared" si="2"/>
        <v>P2</v>
      </c>
      <c r="B203" s="7">
        <v>52.0</v>
      </c>
      <c r="C203" s="8" t="s">
        <v>208</v>
      </c>
      <c r="D203" s="9" t="s">
        <v>7</v>
      </c>
      <c r="E203" s="10">
        <v>10.0</v>
      </c>
      <c r="F203" s="5">
        <f>IFERROR(__xludf.DUMMYFUNCTION("""COMPUTED_VALUE"""),1.71411289999377)</f>
        <v>1.7141129</v>
      </c>
    </row>
    <row r="204">
      <c r="A204" s="5" t="str">
        <f t="shared" si="2"/>
        <v>P2</v>
      </c>
      <c r="B204" s="7">
        <v>54.0</v>
      </c>
      <c r="C204" s="8" t="s">
        <v>209</v>
      </c>
      <c r="D204" s="9" t="s">
        <v>7</v>
      </c>
      <c r="E204" s="10">
        <v>10.0</v>
      </c>
      <c r="F204" s="5">
        <f>IFERROR(__xludf.DUMMYFUNCTION("""COMPUTED_VALUE"""),2.21912500000325)</f>
        <v>2.219125</v>
      </c>
    </row>
    <row r="205">
      <c r="A205" s="5" t="str">
        <f t="shared" si="2"/>
        <v>P2</v>
      </c>
      <c r="B205" s="7">
        <v>55.0</v>
      </c>
      <c r="C205" s="8" t="s">
        <v>210</v>
      </c>
      <c r="D205" s="9" t="s">
        <v>7</v>
      </c>
      <c r="E205" s="10">
        <v>10.0</v>
      </c>
      <c r="F205" s="5">
        <f>IFERROR(__xludf.DUMMYFUNCTION("""COMPUTED_VALUE"""),2.11708270000235)</f>
        <v>2.1170827</v>
      </c>
    </row>
    <row r="206">
      <c r="A206" s="5" t="str">
        <f t="shared" si="2"/>
        <v>P2</v>
      </c>
      <c r="B206" s="7">
        <v>56.0</v>
      </c>
      <c r="C206" s="8" t="s">
        <v>211</v>
      </c>
      <c r="D206" s="9" t="s">
        <v>7</v>
      </c>
      <c r="E206" s="10">
        <v>10.0</v>
      </c>
      <c r="F206" s="5">
        <f>IFERROR(__xludf.DUMMYFUNCTION("""COMPUTED_VALUE"""),2.03415429999586)</f>
        <v>2.0341543</v>
      </c>
    </row>
    <row r="207">
      <c r="A207" s="5" t="str">
        <f t="shared" si="2"/>
        <v>P2</v>
      </c>
      <c r="B207" s="7">
        <v>57.0</v>
      </c>
      <c r="C207" s="8" t="s">
        <v>212</v>
      </c>
      <c r="D207" s="9" t="s">
        <v>7</v>
      </c>
      <c r="E207" s="10">
        <v>5.0</v>
      </c>
      <c r="F207" s="5">
        <f>IFERROR(__xludf.DUMMYFUNCTION("""COMPUTED_VALUE"""),1.798317400011)</f>
        <v>1.7983174</v>
      </c>
    </row>
    <row r="208">
      <c r="A208" s="5" t="str">
        <f t="shared" si="2"/>
        <v>P2</v>
      </c>
      <c r="B208" s="7">
        <v>59.0</v>
      </c>
      <c r="C208" s="8" t="s">
        <v>213</v>
      </c>
      <c r="D208" s="9" t="s">
        <v>7</v>
      </c>
      <c r="E208" s="10">
        <v>10.0</v>
      </c>
      <c r="F208" s="5">
        <f>IFERROR(__xludf.DUMMYFUNCTION("""COMPUTED_VALUE"""),1.41812800000479)</f>
        <v>1.418128</v>
      </c>
    </row>
    <row r="209">
      <c r="A209" s="5" t="str">
        <f t="shared" si="2"/>
        <v>P2</v>
      </c>
      <c r="B209" s="7">
        <v>60.0</v>
      </c>
      <c r="C209" s="8" t="s">
        <v>214</v>
      </c>
      <c r="D209" s="9" t="s">
        <v>7</v>
      </c>
      <c r="E209" s="10">
        <v>5.0</v>
      </c>
      <c r="F209" s="5">
        <f>IFERROR(__xludf.DUMMYFUNCTION("""COMPUTED_VALUE"""),1.6296285999997)</f>
        <v>1.6296286</v>
      </c>
    </row>
    <row r="210">
      <c r="A210" s="5" t="str">
        <f t="shared" si="2"/>
        <v>P2</v>
      </c>
      <c r="B210" s="7">
        <v>61.0</v>
      </c>
      <c r="C210" s="8" t="s">
        <v>215</v>
      </c>
      <c r="D210" s="9" t="s">
        <v>7</v>
      </c>
      <c r="E210" s="10">
        <v>10.0</v>
      </c>
      <c r="F210" s="5">
        <f>IFERROR(__xludf.DUMMYFUNCTION("""COMPUTED_VALUE"""),1.48923910000303)</f>
        <v>1.4892391</v>
      </c>
    </row>
    <row r="211">
      <c r="A211" s="5" t="str">
        <f t="shared" si="2"/>
        <v>P2</v>
      </c>
      <c r="B211" s="7">
        <v>62.0</v>
      </c>
      <c r="C211" s="8" t="s">
        <v>216</v>
      </c>
      <c r="D211" s="9" t="s">
        <v>7</v>
      </c>
      <c r="E211" s="10">
        <v>5.0</v>
      </c>
      <c r="F211" s="5">
        <f>IFERROR(__xludf.DUMMYFUNCTION("""COMPUTED_VALUE"""),1.86346219999541)</f>
        <v>1.8634622</v>
      </c>
    </row>
    <row r="212">
      <c r="A212" s="5" t="str">
        <f t="shared" si="2"/>
        <v>P2</v>
      </c>
      <c r="B212" s="7">
        <v>63.0</v>
      </c>
      <c r="C212" s="8" t="s">
        <v>217</v>
      </c>
      <c r="D212" s="9" t="s">
        <v>7</v>
      </c>
      <c r="E212" s="10">
        <v>5.0</v>
      </c>
      <c r="F212" s="5">
        <f>IFERROR(__xludf.DUMMYFUNCTION("""COMPUTED_VALUE"""),1.26225729999714)</f>
        <v>1.2622573</v>
      </c>
    </row>
    <row r="213">
      <c r="A213" s="5" t="str">
        <f t="shared" si="2"/>
        <v>P2</v>
      </c>
      <c r="B213" s="7">
        <v>64.0</v>
      </c>
      <c r="C213" s="8" t="s">
        <v>218</v>
      </c>
      <c r="D213" s="9" t="s">
        <v>7</v>
      </c>
      <c r="E213" s="10">
        <v>5.0</v>
      </c>
      <c r="F213" s="5">
        <f>IFERROR(__xludf.DUMMYFUNCTION("""COMPUTED_VALUE"""),2.21486169999116)</f>
        <v>2.2148617</v>
      </c>
    </row>
    <row r="214">
      <c r="A214" s="5" t="str">
        <f t="shared" si="2"/>
        <v>P2</v>
      </c>
      <c r="B214" s="7">
        <v>65.0</v>
      </c>
      <c r="C214" s="8" t="s">
        <v>219</v>
      </c>
      <c r="D214" s="9" t="s">
        <v>7</v>
      </c>
      <c r="E214" s="10">
        <v>10.0</v>
      </c>
      <c r="F214" s="5">
        <f>IFERROR(__xludf.DUMMYFUNCTION("""COMPUTED_VALUE"""),1.96457379999628)</f>
        <v>1.9645738</v>
      </c>
    </row>
    <row r="215">
      <c r="A215" s="5" t="str">
        <f t="shared" si="2"/>
        <v>P2</v>
      </c>
      <c r="B215" s="7">
        <v>66.0</v>
      </c>
      <c r="C215" s="8" t="s">
        <v>220</v>
      </c>
      <c r="D215" s="9" t="s">
        <v>7</v>
      </c>
      <c r="E215" s="10">
        <v>5.0</v>
      </c>
      <c r="F215" s="5">
        <f>IFERROR(__xludf.DUMMYFUNCTION("""COMPUTED_VALUE"""),1.92475639999611)</f>
        <v>1.9247564</v>
      </c>
    </row>
    <row r="216">
      <c r="A216" s="5" t="str">
        <f t="shared" si="2"/>
        <v>P2</v>
      </c>
      <c r="B216" s="7">
        <v>67.0</v>
      </c>
      <c r="C216" s="8" t="s">
        <v>221</v>
      </c>
      <c r="D216" s="9" t="s">
        <v>7</v>
      </c>
      <c r="E216" s="10">
        <v>5.0</v>
      </c>
      <c r="F216" s="5">
        <f>IFERROR(__xludf.DUMMYFUNCTION("""COMPUTED_VALUE"""),1.92800440000428)</f>
        <v>1.9280044</v>
      </c>
    </row>
    <row r="217">
      <c r="A217" s="5" t="str">
        <f t="shared" si="2"/>
        <v>P2</v>
      </c>
      <c r="B217" s="7">
        <v>70.0</v>
      </c>
      <c r="C217" s="8" t="s">
        <v>222</v>
      </c>
      <c r="D217" s="9" t="s">
        <v>7</v>
      </c>
      <c r="E217" s="10">
        <v>5.0</v>
      </c>
      <c r="F217" s="5">
        <f>IFERROR(__xludf.DUMMYFUNCTION("""COMPUTED_VALUE"""),1.65354910001042)</f>
        <v>1.6535491</v>
      </c>
    </row>
    <row r="218">
      <c r="A218" s="5" t="str">
        <f t="shared" si="2"/>
        <v>P2</v>
      </c>
      <c r="B218" s="7">
        <v>73.0</v>
      </c>
      <c r="C218" s="8" t="s">
        <v>223</v>
      </c>
      <c r="D218" s="9" t="s">
        <v>7</v>
      </c>
      <c r="E218" s="10">
        <v>10.0</v>
      </c>
      <c r="F218" s="5">
        <f>IFERROR(__xludf.DUMMYFUNCTION("""COMPUTED_VALUE"""),2.53629350000119)</f>
        <v>2.5362935</v>
      </c>
    </row>
    <row r="219">
      <c r="A219" s="5" t="str">
        <f t="shared" si="2"/>
        <v>P2</v>
      </c>
      <c r="B219" s="7">
        <v>74.0</v>
      </c>
      <c r="C219" s="8" t="s">
        <v>224</v>
      </c>
      <c r="D219" s="9" t="s">
        <v>7</v>
      </c>
      <c r="E219" s="10">
        <v>5.0</v>
      </c>
      <c r="F219" s="5">
        <f>IFERROR(__xludf.DUMMYFUNCTION("""COMPUTED_VALUE"""),1.662035500005)</f>
        <v>1.6620355</v>
      </c>
    </row>
    <row r="220">
      <c r="A220" s="5" t="str">
        <f t="shared" si="2"/>
        <v>P2</v>
      </c>
      <c r="B220" s="7">
        <v>75.0</v>
      </c>
      <c r="C220" s="8" t="s">
        <v>225</v>
      </c>
      <c r="D220" s="9" t="s">
        <v>7</v>
      </c>
      <c r="E220" s="10">
        <v>5.0</v>
      </c>
      <c r="F220" s="5">
        <f>IFERROR(__xludf.DUMMYFUNCTION("""COMPUTED_VALUE"""),1.1811480000033)</f>
        <v>1.181148</v>
      </c>
    </row>
    <row r="221">
      <c r="A221" s="5" t="str">
        <f t="shared" si="2"/>
        <v>P2</v>
      </c>
      <c r="B221" s="7">
        <v>76.0</v>
      </c>
      <c r="C221" s="8" t="s">
        <v>226</v>
      </c>
      <c r="D221" s="9" t="s">
        <v>7</v>
      </c>
      <c r="E221" s="10">
        <v>5.0</v>
      </c>
      <c r="F221" s="5">
        <f>IFERROR(__xludf.DUMMYFUNCTION("""COMPUTED_VALUE"""),1.6315009999962)</f>
        <v>1.631501</v>
      </c>
    </row>
    <row r="222">
      <c r="A222" s="5" t="str">
        <f t="shared" si="2"/>
        <v>P2</v>
      </c>
      <c r="B222" s="7">
        <v>77.0</v>
      </c>
      <c r="C222" s="8" t="s">
        <v>227</v>
      </c>
      <c r="D222" s="9" t="s">
        <v>7</v>
      </c>
      <c r="E222" s="10">
        <v>5.0</v>
      </c>
      <c r="F222" s="5">
        <f>IFERROR(__xludf.DUMMYFUNCTION("""COMPUTED_VALUE"""),1.18125360000703)</f>
        <v>1.1812536</v>
      </c>
    </row>
    <row r="223">
      <c r="A223" s="5" t="str">
        <f t="shared" si="2"/>
        <v>P2</v>
      </c>
      <c r="B223" s="7">
        <v>79.0</v>
      </c>
      <c r="C223" s="8" t="s">
        <v>228</v>
      </c>
      <c r="D223" s="9" t="s">
        <v>7</v>
      </c>
      <c r="E223" s="10">
        <v>10.0</v>
      </c>
      <c r="F223" s="5">
        <f>IFERROR(__xludf.DUMMYFUNCTION("""COMPUTED_VALUE"""),1.53407680000236)</f>
        <v>1.5340768</v>
      </c>
    </row>
    <row r="224">
      <c r="A224" s="5" t="str">
        <f t="shared" si="2"/>
        <v>P2</v>
      </c>
      <c r="B224" s="7">
        <v>80.0</v>
      </c>
      <c r="C224" s="8" t="s">
        <v>229</v>
      </c>
      <c r="D224" s="9" t="s">
        <v>7</v>
      </c>
      <c r="E224" s="10">
        <v>5.0</v>
      </c>
      <c r="F224" s="5">
        <f>IFERROR(__xludf.DUMMYFUNCTION("""COMPUTED_VALUE"""),1.85040860000299)</f>
        <v>1.8504086</v>
      </c>
    </row>
    <row r="225">
      <c r="A225" s="5" t="str">
        <f t="shared" si="2"/>
        <v>P2</v>
      </c>
      <c r="B225" s="7">
        <v>81.0</v>
      </c>
      <c r="C225" s="8" t="s">
        <v>230</v>
      </c>
      <c r="D225" s="9" t="s">
        <v>7</v>
      </c>
      <c r="E225" s="10">
        <v>10.0</v>
      </c>
      <c r="F225" s="5">
        <f>IFERROR(__xludf.DUMMYFUNCTION("""COMPUTED_VALUE"""),2.27071270000305)</f>
        <v>2.2707127</v>
      </c>
    </row>
    <row r="226">
      <c r="A226" s="5" t="str">
        <f t="shared" si="2"/>
        <v>P2</v>
      </c>
      <c r="B226" s="7">
        <v>82.0</v>
      </c>
      <c r="C226" s="8" t="s">
        <v>231</v>
      </c>
      <c r="D226" s="9" t="s">
        <v>7</v>
      </c>
      <c r="E226" s="10">
        <v>10.0</v>
      </c>
      <c r="F226" s="5">
        <f>IFERROR(__xludf.DUMMYFUNCTION("""COMPUTED_VALUE"""),2.06930560000182)</f>
        <v>2.0693056</v>
      </c>
    </row>
    <row r="227">
      <c r="A227" s="5" t="str">
        <f t="shared" si="2"/>
        <v>P2</v>
      </c>
      <c r="B227" s="7">
        <v>83.0</v>
      </c>
      <c r="C227" s="8" t="s">
        <v>232</v>
      </c>
      <c r="D227" s="9" t="s">
        <v>7</v>
      </c>
      <c r="E227" s="10">
        <v>5.0</v>
      </c>
      <c r="F227" s="5">
        <f>IFERROR(__xludf.DUMMYFUNCTION("""COMPUTED_VALUE"""),1.28367350000189)</f>
        <v>1.2836735</v>
      </c>
    </row>
    <row r="228">
      <c r="A228" s="5" t="str">
        <f t="shared" si="2"/>
        <v>P2</v>
      </c>
      <c r="B228" s="7">
        <v>84.0</v>
      </c>
      <c r="C228" s="8" t="s">
        <v>233</v>
      </c>
      <c r="D228" s="9" t="s">
        <v>7</v>
      </c>
      <c r="E228" s="10">
        <v>10.0</v>
      </c>
      <c r="F228" s="5">
        <f>IFERROR(__xludf.DUMMYFUNCTION("""COMPUTED_VALUE"""),1.83173059999535)</f>
        <v>1.8317306</v>
      </c>
    </row>
    <row r="229">
      <c r="A229" s="5" t="str">
        <f t="shared" si="2"/>
        <v>P2</v>
      </c>
      <c r="B229" s="7">
        <v>87.0</v>
      </c>
      <c r="C229" s="8" t="s">
        <v>234</v>
      </c>
      <c r="D229" s="9" t="s">
        <v>7</v>
      </c>
      <c r="E229" s="10">
        <v>10.0</v>
      </c>
      <c r="F229" s="5">
        <f>IFERROR(__xludf.DUMMYFUNCTION("""COMPUTED_VALUE"""),0.967406499999924)</f>
        <v>0.9674065</v>
      </c>
    </row>
    <row r="230">
      <c r="A230" s="5" t="str">
        <f t="shared" si="2"/>
        <v>P2</v>
      </c>
      <c r="B230" s="7">
        <v>88.0</v>
      </c>
      <c r="C230" s="8" t="s">
        <v>235</v>
      </c>
      <c r="D230" s="9" t="s">
        <v>7</v>
      </c>
      <c r="E230" s="10">
        <v>5.0</v>
      </c>
      <c r="F230" s="5">
        <f>IFERROR(__xludf.DUMMYFUNCTION("""COMPUTED_VALUE"""),2.09548129999893)</f>
        <v>2.0954813</v>
      </c>
    </row>
    <row r="231">
      <c r="A231" s="5" t="str">
        <f t="shared" si="2"/>
        <v>P2</v>
      </c>
      <c r="B231" s="7">
        <v>89.0</v>
      </c>
      <c r="C231" s="8" t="s">
        <v>236</v>
      </c>
      <c r="D231" s="9" t="s">
        <v>7</v>
      </c>
      <c r="E231" s="10">
        <v>5.0</v>
      </c>
      <c r="F231" s="5">
        <f>IFERROR(__xludf.DUMMYFUNCTION("""COMPUTED_VALUE"""),1.23748899999191)</f>
        <v>1.237489</v>
      </c>
    </row>
    <row r="232">
      <c r="A232" s="5" t="str">
        <f t="shared" si="2"/>
        <v>P2</v>
      </c>
      <c r="B232" s="7">
        <v>90.0</v>
      </c>
      <c r="C232" s="8" t="s">
        <v>237</v>
      </c>
      <c r="D232" s="9" t="s">
        <v>7</v>
      </c>
      <c r="E232" s="10">
        <v>5.0</v>
      </c>
      <c r="F232" s="5">
        <f>IFERROR(__xludf.DUMMYFUNCTION("""COMPUTED_VALUE"""),1.24594930000603)</f>
        <v>1.2459493</v>
      </c>
    </row>
    <row r="233">
      <c r="A233" s="5" t="str">
        <f t="shared" si="2"/>
        <v>P2</v>
      </c>
      <c r="B233" s="7">
        <v>91.0</v>
      </c>
      <c r="C233" s="8" t="s">
        <v>238</v>
      </c>
      <c r="D233" s="9" t="s">
        <v>7</v>
      </c>
      <c r="E233" s="10">
        <v>10.0</v>
      </c>
      <c r="F233" s="5">
        <f>IFERROR(__xludf.DUMMYFUNCTION("""COMPUTED_VALUE"""),1.24704309999651)</f>
        <v>1.2470431</v>
      </c>
    </row>
    <row r="234">
      <c r="A234" s="5" t="str">
        <f t="shared" si="2"/>
        <v>P2</v>
      </c>
      <c r="B234" s="7">
        <v>92.0</v>
      </c>
      <c r="C234" s="8" t="s">
        <v>239</v>
      </c>
      <c r="D234" s="9" t="s">
        <v>7</v>
      </c>
      <c r="E234" s="10">
        <v>5.0</v>
      </c>
      <c r="F234" s="5">
        <f>IFERROR(__xludf.DUMMYFUNCTION("""COMPUTED_VALUE"""),1.24856809999619)</f>
        <v>1.2485681</v>
      </c>
    </row>
    <row r="235">
      <c r="A235" s="5" t="str">
        <f t="shared" si="2"/>
        <v>P2</v>
      </c>
      <c r="B235" s="7">
        <v>93.0</v>
      </c>
      <c r="C235" s="8" t="s">
        <v>240</v>
      </c>
      <c r="D235" s="9" t="s">
        <v>7</v>
      </c>
      <c r="E235" s="10">
        <v>5.0</v>
      </c>
      <c r="F235" s="5">
        <f>IFERROR(__xludf.DUMMYFUNCTION("""COMPUTED_VALUE"""),2.01715220000187)</f>
        <v>2.0171522</v>
      </c>
    </row>
    <row r="236">
      <c r="A236" s="5" t="str">
        <f t="shared" si="2"/>
        <v>P2</v>
      </c>
      <c r="B236" s="7">
        <v>96.0</v>
      </c>
      <c r="C236" s="8" t="s">
        <v>241</v>
      </c>
      <c r="D236" s="9" t="s">
        <v>7</v>
      </c>
      <c r="E236" s="10">
        <v>10.0</v>
      </c>
      <c r="F236" s="5">
        <f>IFERROR(__xludf.DUMMYFUNCTION("""COMPUTED_VALUE"""),2.13336680000065)</f>
        <v>2.1333668</v>
      </c>
    </row>
    <row r="237">
      <c r="A237" s="5" t="str">
        <f t="shared" si="2"/>
        <v>P2</v>
      </c>
      <c r="B237" s="7">
        <v>97.0</v>
      </c>
      <c r="C237" s="8" t="s">
        <v>242</v>
      </c>
      <c r="D237" s="9" t="s">
        <v>7</v>
      </c>
      <c r="E237" s="10">
        <v>5.0</v>
      </c>
      <c r="F237" s="5">
        <f>IFERROR(__xludf.DUMMYFUNCTION("""COMPUTED_VALUE"""),2.04897819999314)</f>
        <v>2.0489782</v>
      </c>
    </row>
    <row r="238">
      <c r="A238" s="5" t="str">
        <f t="shared" si="2"/>
        <v>P2</v>
      </c>
      <c r="B238" s="7">
        <v>98.0</v>
      </c>
      <c r="C238" s="8" t="s">
        <v>243</v>
      </c>
      <c r="D238" s="9" t="s">
        <v>7</v>
      </c>
      <c r="E238" s="10">
        <v>10.0</v>
      </c>
      <c r="F238" s="5">
        <f>IFERROR(__xludf.DUMMYFUNCTION("""COMPUTED_VALUE"""),1.84876809999695)</f>
        <v>1.8487681</v>
      </c>
    </row>
    <row r="239">
      <c r="A239" s="5" t="str">
        <f t="shared" si="2"/>
        <v>P2</v>
      </c>
      <c r="B239" s="7">
        <v>100.0</v>
      </c>
      <c r="C239" s="8" t="s">
        <v>244</v>
      </c>
      <c r="D239" s="9" t="s">
        <v>7</v>
      </c>
      <c r="E239" s="10">
        <v>10.0</v>
      </c>
      <c r="F239" s="5">
        <f>IFERROR(__xludf.DUMMYFUNCTION("""COMPUTED_VALUE"""),1.65095480000309)</f>
        <v>1.6509548</v>
      </c>
    </row>
    <row r="240">
      <c r="A240" s="5" t="str">
        <f t="shared" si="2"/>
        <v>P2</v>
      </c>
      <c r="B240" s="7">
        <v>101.0</v>
      </c>
      <c r="C240" s="8" t="s">
        <v>245</v>
      </c>
      <c r="D240" s="9" t="s">
        <v>7</v>
      </c>
      <c r="E240" s="10">
        <v>5.0</v>
      </c>
      <c r="F240" s="5">
        <f>IFERROR(__xludf.DUMMYFUNCTION("""COMPUTED_VALUE"""),2.16182779999508)</f>
        <v>2.1618278</v>
      </c>
    </row>
    <row r="241">
      <c r="A241" s="5" t="str">
        <f t="shared" si="2"/>
        <v>P2</v>
      </c>
      <c r="B241" s="7">
        <v>102.0</v>
      </c>
      <c r="C241" s="8" t="s">
        <v>246</v>
      </c>
      <c r="D241" s="9" t="s">
        <v>7</v>
      </c>
      <c r="E241" s="10">
        <v>5.0</v>
      </c>
      <c r="F241" s="5">
        <f>IFERROR(__xludf.DUMMYFUNCTION("""COMPUTED_VALUE"""),2.00173790000553)</f>
        <v>2.0017379</v>
      </c>
    </row>
    <row r="242">
      <c r="A242" s="5" t="str">
        <f t="shared" si="2"/>
        <v>P2</v>
      </c>
      <c r="B242" s="7">
        <v>103.0</v>
      </c>
      <c r="C242" s="8" t="s">
        <v>247</v>
      </c>
      <c r="D242" s="9" t="s">
        <v>7</v>
      </c>
      <c r="E242" s="10">
        <v>5.0</v>
      </c>
      <c r="F242" s="5">
        <f>IFERROR(__xludf.DUMMYFUNCTION("""COMPUTED_VALUE"""),1.8640221000096)</f>
        <v>1.8640221</v>
      </c>
    </row>
    <row r="243">
      <c r="A243" s="5" t="str">
        <f t="shared" si="2"/>
        <v>P2</v>
      </c>
      <c r="B243" s="7">
        <v>104.0</v>
      </c>
      <c r="C243" s="8" t="s">
        <v>248</v>
      </c>
      <c r="D243" s="9" t="s">
        <v>7</v>
      </c>
      <c r="E243" s="10">
        <v>10.0</v>
      </c>
      <c r="F243" s="5">
        <f>IFERROR(__xludf.DUMMYFUNCTION("""COMPUTED_VALUE"""),1.09842619999835)</f>
        <v>1.0984262</v>
      </c>
    </row>
    <row r="244">
      <c r="A244" s="5" t="str">
        <f t="shared" si="2"/>
        <v>P2</v>
      </c>
      <c r="B244" s="7">
        <v>105.0</v>
      </c>
      <c r="C244" s="8" t="s">
        <v>249</v>
      </c>
      <c r="D244" s="9" t="s">
        <v>7</v>
      </c>
      <c r="E244" s="10">
        <v>5.0</v>
      </c>
      <c r="F244" s="5">
        <f>IFERROR(__xludf.DUMMYFUNCTION("""COMPUTED_VALUE"""),1.91927199999918)</f>
        <v>1.919272</v>
      </c>
    </row>
    <row r="245">
      <c r="A245" s="5" t="str">
        <f t="shared" si="2"/>
        <v>P2</v>
      </c>
      <c r="B245" s="7">
        <v>106.0</v>
      </c>
      <c r="C245" s="8" t="s">
        <v>250</v>
      </c>
      <c r="D245" s="9" t="s">
        <v>7</v>
      </c>
      <c r="E245" s="10">
        <v>10.0</v>
      </c>
      <c r="F245" s="5">
        <f>IFERROR(__xludf.DUMMYFUNCTION("""COMPUTED_VALUE"""),0.967887499995413)</f>
        <v>0.9678875</v>
      </c>
    </row>
    <row r="246">
      <c r="A246" s="5" t="str">
        <f t="shared" si="2"/>
        <v>P2</v>
      </c>
      <c r="B246" s="7">
        <v>108.0</v>
      </c>
      <c r="C246" s="8" t="s">
        <v>251</v>
      </c>
      <c r="D246" s="9" t="s">
        <v>7</v>
      </c>
      <c r="E246" s="10">
        <v>5.0</v>
      </c>
      <c r="F246" s="5">
        <f>IFERROR(__xludf.DUMMYFUNCTION("""COMPUTED_VALUE"""),1.38191760001063)</f>
        <v>1.3819176</v>
      </c>
    </row>
    <row r="247">
      <c r="A247" s="5" t="str">
        <f t="shared" si="2"/>
        <v>P2</v>
      </c>
      <c r="B247" s="7">
        <v>109.0</v>
      </c>
      <c r="C247" s="8" t="s">
        <v>252</v>
      </c>
      <c r="D247" s="9" t="s">
        <v>7</v>
      </c>
      <c r="E247" s="10">
        <v>10.0</v>
      </c>
      <c r="F247" s="5">
        <f>IFERROR(__xludf.DUMMYFUNCTION("""COMPUTED_VALUE"""),1.5904612000013)</f>
        <v>1.5904612</v>
      </c>
    </row>
    <row r="248">
      <c r="A248" s="5" t="str">
        <f t="shared" si="2"/>
        <v>P2</v>
      </c>
      <c r="B248" s="7">
        <v>110.0</v>
      </c>
      <c r="C248" s="8" t="s">
        <v>253</v>
      </c>
      <c r="D248" s="9" t="s">
        <v>7</v>
      </c>
      <c r="E248" s="10">
        <v>10.0</v>
      </c>
      <c r="F248" s="5">
        <f>IFERROR(__xludf.DUMMYFUNCTION("""COMPUTED_VALUE"""),2.20812490000389)</f>
        <v>2.2081249</v>
      </c>
    </row>
    <row r="249">
      <c r="A249" s="5" t="str">
        <f t="shared" si="2"/>
        <v>P2</v>
      </c>
      <c r="B249" s="7">
        <v>111.0</v>
      </c>
      <c r="C249" s="8" t="s">
        <v>254</v>
      </c>
      <c r="D249" s="9" t="s">
        <v>7</v>
      </c>
      <c r="E249" s="10">
        <v>10.0</v>
      </c>
      <c r="F249" s="5">
        <f>IFERROR(__xludf.DUMMYFUNCTION("""COMPUTED_VALUE"""),1.90435939999588)</f>
        <v>1.9043594</v>
      </c>
    </row>
    <row r="250">
      <c r="A250" s="5" t="str">
        <f t="shared" si="2"/>
        <v>P2</v>
      </c>
      <c r="B250" s="7">
        <v>112.0</v>
      </c>
      <c r="C250" s="8" t="s">
        <v>255</v>
      </c>
      <c r="D250" s="9" t="s">
        <v>7</v>
      </c>
      <c r="E250" s="10">
        <v>10.0</v>
      </c>
      <c r="F250" s="5">
        <f>IFERROR(__xludf.DUMMYFUNCTION("""COMPUTED_VALUE"""),1.86624640000809)</f>
        <v>1.8662464</v>
      </c>
    </row>
    <row r="251">
      <c r="A251" s="5" t="str">
        <f t="shared" si="2"/>
        <v>P2</v>
      </c>
      <c r="B251" s="7">
        <v>113.0</v>
      </c>
      <c r="C251" s="8" t="s">
        <v>256</v>
      </c>
      <c r="D251" s="9" t="s">
        <v>7</v>
      </c>
      <c r="E251" s="10">
        <v>5.0</v>
      </c>
      <c r="F251" s="5">
        <f>IFERROR(__xludf.DUMMYFUNCTION("""COMPUTED_VALUE"""),1.56881970001268)</f>
        <v>1.5688197</v>
      </c>
    </row>
    <row r="252">
      <c r="A252" s="5" t="str">
        <f t="shared" si="2"/>
        <v>P2</v>
      </c>
      <c r="B252" s="7">
        <v>114.0</v>
      </c>
      <c r="C252" s="8" t="s">
        <v>257</v>
      </c>
      <c r="D252" s="9" t="s">
        <v>7</v>
      </c>
      <c r="E252" s="10">
        <v>5.0</v>
      </c>
      <c r="F252" s="5">
        <f>IFERROR(__xludf.DUMMYFUNCTION("""COMPUTED_VALUE"""),1.38604619998659)</f>
        <v>1.3860462</v>
      </c>
    </row>
    <row r="253">
      <c r="A253" s="5" t="str">
        <f t="shared" si="2"/>
        <v>P2</v>
      </c>
      <c r="B253" s="7">
        <v>115.0</v>
      </c>
      <c r="C253" s="8" t="s">
        <v>258</v>
      </c>
      <c r="D253" s="9" t="s">
        <v>7</v>
      </c>
      <c r="E253" s="10">
        <v>5.0</v>
      </c>
      <c r="F253" s="5">
        <f>IFERROR(__xludf.DUMMYFUNCTION("""COMPUTED_VALUE"""),2.45618790001026)</f>
        <v>2.4561879</v>
      </c>
    </row>
    <row r="254">
      <c r="A254" s="5" t="str">
        <f t="shared" si="2"/>
        <v>P2</v>
      </c>
      <c r="B254" s="7">
        <v>116.0</v>
      </c>
      <c r="C254" s="8" t="s">
        <v>259</v>
      </c>
      <c r="D254" s="9" t="s">
        <v>7</v>
      </c>
      <c r="E254" s="10">
        <v>5.0</v>
      </c>
      <c r="F254" s="5">
        <f>IFERROR(__xludf.DUMMYFUNCTION("""COMPUTED_VALUE"""),1.36341069999616)</f>
        <v>1.3634107</v>
      </c>
    </row>
    <row r="255">
      <c r="A255" s="5" t="str">
        <f t="shared" si="2"/>
        <v>P2</v>
      </c>
      <c r="B255" s="7">
        <v>117.0</v>
      </c>
      <c r="C255" s="8" t="s">
        <v>260</v>
      </c>
      <c r="D255" s="9" t="s">
        <v>7</v>
      </c>
      <c r="E255" s="10">
        <v>10.0</v>
      </c>
      <c r="F255" s="5">
        <f>IFERROR(__xludf.DUMMYFUNCTION("""COMPUTED_VALUE"""),1.51379279998946)</f>
        <v>1.5137928</v>
      </c>
    </row>
    <row r="256">
      <c r="A256" s="5" t="str">
        <f t="shared" si="2"/>
        <v>P2</v>
      </c>
      <c r="B256" s="7">
        <v>118.0</v>
      </c>
      <c r="C256" s="8" t="s">
        <v>261</v>
      </c>
      <c r="D256" s="9" t="s">
        <v>7</v>
      </c>
      <c r="E256" s="10">
        <v>5.0</v>
      </c>
      <c r="F256" s="5">
        <f>IFERROR(__xludf.DUMMYFUNCTION("""COMPUTED_VALUE"""),2.19981479999842)</f>
        <v>2.1998148</v>
      </c>
    </row>
    <row r="257">
      <c r="A257" s="5" t="str">
        <f t="shared" si="2"/>
        <v>P2</v>
      </c>
      <c r="B257" s="7">
        <v>119.0</v>
      </c>
      <c r="C257" s="8" t="s">
        <v>262</v>
      </c>
      <c r="D257" s="9" t="s">
        <v>7</v>
      </c>
      <c r="E257" s="10">
        <v>10.0</v>
      </c>
      <c r="F257" s="5">
        <f>IFERROR(__xludf.DUMMYFUNCTION("""COMPUTED_VALUE"""),2.09934190000058)</f>
        <v>2.0993419</v>
      </c>
    </row>
    <row r="258">
      <c r="A258" s="5" t="str">
        <f t="shared" si="2"/>
        <v>P2</v>
      </c>
      <c r="B258" s="7">
        <v>120.0</v>
      </c>
      <c r="C258" s="8" t="s">
        <v>263</v>
      </c>
      <c r="D258" s="9" t="s">
        <v>7</v>
      </c>
      <c r="E258" s="10">
        <v>5.0</v>
      </c>
      <c r="F258" s="5">
        <f>IFERROR(__xludf.DUMMYFUNCTION("""COMPUTED_VALUE"""),1.57950219999474)</f>
        <v>1.5795022</v>
      </c>
    </row>
    <row r="259">
      <c r="A259" s="5" t="str">
        <f t="shared" si="2"/>
        <v>P2</v>
      </c>
      <c r="B259" s="7">
        <v>121.0</v>
      </c>
      <c r="C259" s="8" t="s">
        <v>264</v>
      </c>
      <c r="D259" s="9" t="s">
        <v>7</v>
      </c>
      <c r="E259" s="10">
        <v>10.0</v>
      </c>
      <c r="F259" s="5">
        <f>IFERROR(__xludf.DUMMYFUNCTION("""COMPUTED_VALUE"""),3.99925710000388)</f>
        <v>3.9992571</v>
      </c>
    </row>
    <row r="260">
      <c r="A260" s="5" t="str">
        <f t="shared" si="2"/>
        <v>P2</v>
      </c>
      <c r="B260" s="7">
        <v>123.0</v>
      </c>
      <c r="C260" s="8" t="s">
        <v>265</v>
      </c>
      <c r="D260" s="9" t="s">
        <v>7</v>
      </c>
      <c r="E260" s="10">
        <v>5.0</v>
      </c>
      <c r="F260" s="5">
        <f>IFERROR(__xludf.DUMMYFUNCTION("""COMPUTED_VALUE"""),1.41201309999451)</f>
        <v>1.4120131</v>
      </c>
    </row>
    <row r="261">
      <c r="A261" s="5" t="str">
        <f t="shared" si="2"/>
        <v>P2</v>
      </c>
      <c r="B261" s="7">
        <v>125.0</v>
      </c>
      <c r="C261" s="8" t="s">
        <v>266</v>
      </c>
      <c r="D261" s="9" t="s">
        <v>7</v>
      </c>
      <c r="E261" s="10">
        <v>10.0</v>
      </c>
      <c r="F261" s="5">
        <f>IFERROR(__xludf.DUMMYFUNCTION("""COMPUTED_VALUE"""),6.15371289999166)</f>
        <v>6.1537129</v>
      </c>
    </row>
    <row r="262">
      <c r="A262" s="5" t="str">
        <f t="shared" si="2"/>
        <v>P2</v>
      </c>
      <c r="B262" s="7">
        <v>126.0</v>
      </c>
      <c r="C262" s="8" t="s">
        <v>267</v>
      </c>
      <c r="D262" s="9" t="s">
        <v>7</v>
      </c>
      <c r="E262" s="10">
        <v>5.0</v>
      </c>
      <c r="F262" s="5">
        <f>IFERROR(__xludf.DUMMYFUNCTION("""COMPUTED_VALUE"""),1.51324260000546)</f>
        <v>1.5132426</v>
      </c>
    </row>
    <row r="263">
      <c r="A263" s="5" t="str">
        <f t="shared" si="2"/>
        <v>P2</v>
      </c>
      <c r="B263" s="7">
        <v>128.0</v>
      </c>
      <c r="C263" s="8" t="s">
        <v>268</v>
      </c>
      <c r="D263" s="9" t="s">
        <v>7</v>
      </c>
      <c r="E263" s="10">
        <v>5.0</v>
      </c>
      <c r="F263" s="5">
        <f>IFERROR(__xludf.DUMMYFUNCTION("""COMPUTED_VALUE"""),4.1525721999933)</f>
        <v>4.1525722</v>
      </c>
    </row>
    <row r="264">
      <c r="A264" s="5" t="str">
        <f t="shared" si="2"/>
        <v>P2</v>
      </c>
      <c r="B264" s="7">
        <v>129.0</v>
      </c>
      <c r="C264" s="8" t="s">
        <v>269</v>
      </c>
      <c r="D264" s="9" t="s">
        <v>7</v>
      </c>
      <c r="E264" s="10">
        <v>10.0</v>
      </c>
      <c r="F264" s="5">
        <f>IFERROR(__xludf.DUMMYFUNCTION("""COMPUTED_VALUE"""),1.89692320000904)</f>
        <v>1.8969232</v>
      </c>
    </row>
    <row r="265">
      <c r="A265" s="5" t="str">
        <f t="shared" si="2"/>
        <v>P2</v>
      </c>
      <c r="B265" s="7">
        <v>131.0</v>
      </c>
      <c r="C265" s="8" t="s">
        <v>270</v>
      </c>
      <c r="D265" s="9" t="s">
        <v>7</v>
      </c>
      <c r="E265" s="10">
        <v>10.0</v>
      </c>
      <c r="F265" s="5">
        <f>IFERROR(__xludf.DUMMYFUNCTION("""COMPUTED_VALUE"""),2.53188730000692)</f>
        <v>2.5318873</v>
      </c>
    </row>
    <row r="266">
      <c r="A266" s="5" t="str">
        <f t="shared" si="2"/>
        <v>P2</v>
      </c>
      <c r="B266" s="7">
        <v>132.0</v>
      </c>
      <c r="C266" s="8" t="s">
        <v>271</v>
      </c>
      <c r="D266" s="9" t="s">
        <v>7</v>
      </c>
      <c r="E266" s="10">
        <v>5.0</v>
      </c>
      <c r="F266" s="5">
        <f>IFERROR(__xludf.DUMMYFUNCTION("""COMPUTED_VALUE"""),3.70758889999706)</f>
        <v>3.7075889</v>
      </c>
    </row>
    <row r="267">
      <c r="A267" s="5" t="str">
        <f t="shared" si="2"/>
        <v>P2</v>
      </c>
      <c r="B267" s="7">
        <v>133.0</v>
      </c>
      <c r="C267" s="8" t="s">
        <v>272</v>
      </c>
      <c r="D267" s="9" t="s">
        <v>7</v>
      </c>
      <c r="E267" s="10">
        <v>5.0</v>
      </c>
      <c r="F267" s="5">
        <f>IFERROR(__xludf.DUMMYFUNCTION("""COMPUTED_VALUE"""),1.76902259999769)</f>
        <v>1.7690226</v>
      </c>
    </row>
    <row r="268">
      <c r="A268" s="5" t="str">
        <f t="shared" si="2"/>
        <v>P2</v>
      </c>
      <c r="B268" s="7">
        <v>134.0</v>
      </c>
      <c r="C268" s="8" t="s">
        <v>273</v>
      </c>
      <c r="D268" s="9" t="s">
        <v>7</v>
      </c>
      <c r="E268" s="10">
        <v>5.0</v>
      </c>
      <c r="F268" s="5">
        <f>IFERROR(__xludf.DUMMYFUNCTION("""COMPUTED_VALUE"""),1.6975073999929)</f>
        <v>1.6975074</v>
      </c>
    </row>
    <row r="269">
      <c r="A269" s="5" t="str">
        <f t="shared" si="2"/>
        <v>P2</v>
      </c>
      <c r="B269" s="7">
        <v>135.0</v>
      </c>
      <c r="C269" s="8" t="s">
        <v>274</v>
      </c>
      <c r="D269" s="9" t="s">
        <v>7</v>
      </c>
      <c r="E269" s="10">
        <v>5.0</v>
      </c>
      <c r="F269" s="5">
        <f>IFERROR(__xludf.DUMMYFUNCTION("""COMPUTED_VALUE"""),1.80256989999907)</f>
        <v>1.8025699</v>
      </c>
    </row>
    <row r="270">
      <c r="A270" s="5" t="str">
        <f t="shared" si="2"/>
        <v>P2</v>
      </c>
      <c r="B270" s="7">
        <v>137.0</v>
      </c>
      <c r="C270" s="8" t="s">
        <v>275</v>
      </c>
      <c r="D270" s="9" t="s">
        <v>7</v>
      </c>
      <c r="E270" s="10">
        <v>10.0</v>
      </c>
      <c r="F270" s="5">
        <f>IFERROR(__xludf.DUMMYFUNCTION("""COMPUTED_VALUE"""),1.76825880000251)</f>
        <v>1.7682588</v>
      </c>
    </row>
    <row r="271">
      <c r="A271" s="5" t="str">
        <f t="shared" si="2"/>
        <v>P2</v>
      </c>
      <c r="B271" s="7">
        <v>138.0</v>
      </c>
      <c r="C271" s="8" t="s">
        <v>276</v>
      </c>
      <c r="D271" s="9" t="s">
        <v>7</v>
      </c>
      <c r="E271" s="10">
        <v>10.0</v>
      </c>
      <c r="F271" s="5">
        <f>IFERROR(__xludf.DUMMYFUNCTION("""COMPUTED_VALUE"""),2.08669450000161)</f>
        <v>2.0866945</v>
      </c>
    </row>
    <row r="272">
      <c r="A272" s="5" t="str">
        <f t="shared" si="2"/>
        <v>P2</v>
      </c>
      <c r="B272" s="7">
        <v>139.0</v>
      </c>
      <c r="C272" s="8" t="s">
        <v>277</v>
      </c>
      <c r="D272" s="9" t="s">
        <v>7</v>
      </c>
      <c r="E272" s="10">
        <v>10.0</v>
      </c>
      <c r="F272" s="5">
        <f>IFERROR(__xludf.DUMMYFUNCTION("""COMPUTED_VALUE"""),2.12574170000152)</f>
        <v>2.1257417</v>
      </c>
    </row>
    <row r="273">
      <c r="A273" s="5" t="str">
        <f t="shared" si="2"/>
        <v>P2</v>
      </c>
      <c r="B273" s="7">
        <v>142.0</v>
      </c>
      <c r="C273" s="8" t="s">
        <v>278</v>
      </c>
      <c r="D273" s="9" t="s">
        <v>7</v>
      </c>
      <c r="E273" s="10">
        <v>10.0</v>
      </c>
      <c r="F273" s="5">
        <f>IFERROR(__xludf.DUMMYFUNCTION("""COMPUTED_VALUE"""),2.60238669998943)</f>
        <v>2.6023867</v>
      </c>
    </row>
    <row r="274">
      <c r="A274" s="5" t="str">
        <f t="shared" si="2"/>
        <v>P2</v>
      </c>
      <c r="B274" s="7">
        <v>143.0</v>
      </c>
      <c r="C274" s="8" t="s">
        <v>279</v>
      </c>
      <c r="D274" s="9" t="s">
        <v>7</v>
      </c>
      <c r="E274" s="10">
        <v>10.0</v>
      </c>
      <c r="F274" s="5">
        <f>IFERROR(__xludf.DUMMYFUNCTION("""COMPUTED_VALUE"""),2.45313019999593)</f>
        <v>2.4531302</v>
      </c>
    </row>
    <row r="275">
      <c r="A275" s="5" t="str">
        <f t="shared" si="2"/>
        <v>P2</v>
      </c>
      <c r="B275" s="7">
        <v>144.0</v>
      </c>
      <c r="C275" s="8" t="s">
        <v>280</v>
      </c>
      <c r="D275" s="9" t="s">
        <v>7</v>
      </c>
      <c r="E275" s="10">
        <v>5.0</v>
      </c>
      <c r="F275" s="5">
        <f>IFERROR(__xludf.DUMMYFUNCTION("""COMPUTED_VALUE"""),1.79639619999215)</f>
        <v>1.7963962</v>
      </c>
    </row>
    <row r="276">
      <c r="A276" s="5" t="str">
        <f t="shared" si="2"/>
        <v>P2</v>
      </c>
      <c r="B276" s="7">
        <v>145.0</v>
      </c>
      <c r="C276" s="8" t="s">
        <v>281</v>
      </c>
      <c r="D276" s="9" t="s">
        <v>7</v>
      </c>
      <c r="E276" s="10">
        <v>10.0</v>
      </c>
      <c r="F276" s="5">
        <f>IFERROR(__xludf.DUMMYFUNCTION("""COMPUTED_VALUE"""),2.1726367999945)</f>
        <v>2.1726368</v>
      </c>
    </row>
    <row r="277">
      <c r="A277" s="5" t="str">
        <f t="shared" si="2"/>
        <v>P2</v>
      </c>
      <c r="B277" s="7">
        <v>146.0</v>
      </c>
      <c r="C277" s="8" t="s">
        <v>282</v>
      </c>
      <c r="D277" s="9" t="s">
        <v>7</v>
      </c>
      <c r="E277" s="10">
        <v>10.0</v>
      </c>
      <c r="F277" s="5">
        <f>IFERROR(__xludf.DUMMYFUNCTION("""COMPUTED_VALUE"""),2.08124369999859)</f>
        <v>2.0812437</v>
      </c>
    </row>
    <row r="278">
      <c r="A278" s="5" t="str">
        <f t="shared" si="2"/>
        <v>P2</v>
      </c>
      <c r="B278" s="7">
        <v>147.0</v>
      </c>
      <c r="C278" s="8" t="s">
        <v>283</v>
      </c>
      <c r="D278" s="9" t="s">
        <v>7</v>
      </c>
      <c r="E278" s="10">
        <v>10.0</v>
      </c>
      <c r="F278" s="5">
        <f>IFERROR(__xludf.DUMMYFUNCTION("""COMPUTED_VALUE"""),1.97040219999325)</f>
        <v>1.9704022</v>
      </c>
    </row>
    <row r="279">
      <c r="A279" s="5" t="str">
        <f t="shared" si="2"/>
        <v>P2</v>
      </c>
      <c r="B279" s="7">
        <v>148.0</v>
      </c>
      <c r="C279" s="8" t="s">
        <v>284</v>
      </c>
      <c r="D279" s="9" t="s">
        <v>7</v>
      </c>
      <c r="E279" s="10">
        <v>10.0</v>
      </c>
      <c r="F279" s="5">
        <f>IFERROR(__xludf.DUMMYFUNCTION("""COMPUTED_VALUE"""),3.23648750000575)</f>
        <v>3.2364875</v>
      </c>
    </row>
    <row r="280">
      <c r="A280" s="5" t="str">
        <f t="shared" si="2"/>
        <v>P2</v>
      </c>
      <c r="B280" s="7">
        <v>149.0</v>
      </c>
      <c r="C280" s="8" t="s">
        <v>285</v>
      </c>
      <c r="D280" s="9" t="s">
        <v>7</v>
      </c>
      <c r="E280" s="10">
        <v>10.0</v>
      </c>
      <c r="F280" s="5">
        <f>IFERROR(__xludf.DUMMYFUNCTION("""COMPUTED_VALUE"""),2.77955049999582)</f>
        <v>2.7795505</v>
      </c>
    </row>
    <row r="281">
      <c r="A281" s="5" t="str">
        <f t="shared" si="2"/>
        <v>P2</v>
      </c>
      <c r="B281" s="7">
        <v>150.0</v>
      </c>
      <c r="C281" s="8" t="s">
        <v>286</v>
      </c>
      <c r="D281" s="9" t="s">
        <v>7</v>
      </c>
      <c r="E281" s="10">
        <v>5.0</v>
      </c>
      <c r="F281" s="5">
        <f>IFERROR(__xludf.DUMMYFUNCTION("""COMPUTED_VALUE"""),1.89936679998936)</f>
        <v>1.8993668</v>
      </c>
    </row>
    <row r="282">
      <c r="A282" s="5" t="str">
        <f t="shared" si="2"/>
        <v>P2</v>
      </c>
      <c r="B282" s="7">
        <v>152.0</v>
      </c>
      <c r="C282" s="8" t="s">
        <v>287</v>
      </c>
      <c r="D282" s="9" t="s">
        <v>7</v>
      </c>
      <c r="E282" s="10">
        <v>10.0</v>
      </c>
      <c r="F282" s="5">
        <f>IFERROR(__xludf.DUMMYFUNCTION("""COMPUTED_VALUE"""),1.48619520000647)</f>
        <v>1.4861952</v>
      </c>
    </row>
    <row r="283">
      <c r="A283" s="5" t="str">
        <f t="shared" si="2"/>
        <v>P2</v>
      </c>
      <c r="B283" s="7">
        <v>153.0</v>
      </c>
      <c r="C283" s="8" t="s">
        <v>288</v>
      </c>
      <c r="D283" s="9" t="s">
        <v>7</v>
      </c>
      <c r="E283" s="10">
        <v>10.0</v>
      </c>
      <c r="F283" s="5">
        <f>IFERROR(__xludf.DUMMYFUNCTION("""COMPUTED_VALUE"""),1.61020819999976)</f>
        <v>1.6102082</v>
      </c>
    </row>
    <row r="284">
      <c r="A284" s="5" t="str">
        <f t="shared" si="2"/>
        <v>P2</v>
      </c>
      <c r="B284" s="7">
        <v>154.0</v>
      </c>
      <c r="C284" s="8" t="s">
        <v>289</v>
      </c>
      <c r="D284" s="9" t="s">
        <v>7</v>
      </c>
      <c r="E284" s="10">
        <v>5.0</v>
      </c>
      <c r="F284" s="5">
        <f>IFERROR(__xludf.DUMMYFUNCTION("""COMPUTED_VALUE"""),2.07923639999353)</f>
        <v>2.0792364</v>
      </c>
    </row>
    <row r="285">
      <c r="A285" s="5" t="str">
        <f t="shared" si="2"/>
        <v>P2</v>
      </c>
      <c r="B285" s="7">
        <v>156.0</v>
      </c>
      <c r="C285" s="8" t="s">
        <v>290</v>
      </c>
      <c r="D285" s="9" t="s">
        <v>7</v>
      </c>
      <c r="E285" s="10">
        <v>10.0</v>
      </c>
      <c r="F285" s="5">
        <f>IFERROR(__xludf.DUMMYFUNCTION("""COMPUTED_VALUE"""),2.03363459999673)</f>
        <v>2.0336346</v>
      </c>
    </row>
    <row r="286">
      <c r="A286" s="5" t="str">
        <f t="shared" si="2"/>
        <v>P2</v>
      </c>
      <c r="B286" s="7">
        <v>157.0</v>
      </c>
      <c r="C286" s="8" t="s">
        <v>291</v>
      </c>
      <c r="D286" s="9" t="s">
        <v>7</v>
      </c>
      <c r="E286" s="10">
        <v>5.0</v>
      </c>
      <c r="F286" s="5">
        <f>IFERROR(__xludf.DUMMYFUNCTION("""COMPUTED_VALUE"""),1.92300989999785)</f>
        <v>1.9230099</v>
      </c>
    </row>
    <row r="287">
      <c r="A287" s="5" t="str">
        <f t="shared" si="2"/>
        <v>P2</v>
      </c>
      <c r="B287" s="7">
        <v>159.0</v>
      </c>
      <c r="C287" s="8" t="s">
        <v>292</v>
      </c>
      <c r="D287" s="9" t="s">
        <v>7</v>
      </c>
      <c r="E287" s="10">
        <v>10.0</v>
      </c>
      <c r="F287" s="5">
        <f>IFERROR(__xludf.DUMMYFUNCTION("""COMPUTED_VALUE"""),2.11785029999737)</f>
        <v>2.1178503</v>
      </c>
    </row>
    <row r="288">
      <c r="A288" s="5" t="str">
        <f t="shared" si="2"/>
        <v>P2</v>
      </c>
      <c r="B288" s="7">
        <v>160.0</v>
      </c>
      <c r="C288" s="8" t="s">
        <v>293</v>
      </c>
      <c r="D288" s="9" t="s">
        <v>7</v>
      </c>
      <c r="E288" s="10">
        <v>5.0</v>
      </c>
      <c r="F288" s="5">
        <f>IFERROR(__xludf.DUMMYFUNCTION("""COMPUTED_VALUE"""),2.31230130000039)</f>
        <v>2.3123013</v>
      </c>
    </row>
    <row r="289">
      <c r="A289" s="5" t="str">
        <f t="shared" si="2"/>
        <v>P2</v>
      </c>
      <c r="B289" s="7">
        <v>161.0</v>
      </c>
      <c r="C289" s="8" t="s">
        <v>294</v>
      </c>
      <c r="D289" s="9" t="s">
        <v>7</v>
      </c>
      <c r="E289" s="10">
        <v>5.0</v>
      </c>
      <c r="F289" s="5">
        <f>IFERROR(__xludf.DUMMYFUNCTION("""COMPUTED_VALUE"""),1.46167609999247)</f>
        <v>1.4616761</v>
      </c>
    </row>
    <row r="290">
      <c r="A290" s="5" t="str">
        <f t="shared" si="2"/>
        <v>P2</v>
      </c>
      <c r="B290" s="7">
        <v>162.0</v>
      </c>
      <c r="C290" s="8" t="s">
        <v>295</v>
      </c>
      <c r="D290" s="9" t="s">
        <v>7</v>
      </c>
      <c r="E290" s="10">
        <v>10.0</v>
      </c>
      <c r="F290" s="5">
        <f>IFERROR(__xludf.DUMMYFUNCTION("""COMPUTED_VALUE"""),1.6616531000036)</f>
        <v>1.6616531</v>
      </c>
    </row>
    <row r="291">
      <c r="A291" s="5" t="str">
        <f t="shared" si="2"/>
        <v>P2</v>
      </c>
      <c r="B291" s="7">
        <v>163.0</v>
      </c>
      <c r="C291" s="8" t="s">
        <v>296</v>
      </c>
      <c r="D291" s="9" t="s">
        <v>7</v>
      </c>
      <c r="E291" s="10">
        <v>5.0</v>
      </c>
      <c r="F291" s="5">
        <f>IFERROR(__xludf.DUMMYFUNCTION("""COMPUTED_VALUE"""),1.80068369999935)</f>
        <v>1.8006837</v>
      </c>
    </row>
    <row r="292">
      <c r="A292" s="5" t="str">
        <f t="shared" si="2"/>
        <v>P2</v>
      </c>
      <c r="B292" s="7">
        <v>164.0</v>
      </c>
      <c r="C292" s="8" t="s">
        <v>297</v>
      </c>
      <c r="D292" s="9" t="s">
        <v>7</v>
      </c>
      <c r="E292" s="10">
        <v>10.0</v>
      </c>
      <c r="F292" s="5">
        <f>IFERROR(__xludf.DUMMYFUNCTION("""COMPUTED_VALUE"""),1.05936139999539)</f>
        <v>1.0593614</v>
      </c>
    </row>
    <row r="293">
      <c r="A293" s="5" t="str">
        <f t="shared" si="2"/>
        <v>P2</v>
      </c>
      <c r="B293" s="7">
        <v>165.0</v>
      </c>
      <c r="C293" s="8" t="s">
        <v>298</v>
      </c>
      <c r="D293" s="9" t="s">
        <v>7</v>
      </c>
      <c r="E293" s="10">
        <v>10.0</v>
      </c>
      <c r="F293" s="5">
        <f>IFERROR(__xludf.DUMMYFUNCTION("""COMPUTED_VALUE"""),2.54043099998671)</f>
        <v>2.540431</v>
      </c>
    </row>
    <row r="294">
      <c r="A294" s="5" t="str">
        <f t="shared" si="2"/>
        <v>P2</v>
      </c>
      <c r="B294" s="7">
        <v>166.0</v>
      </c>
      <c r="C294" s="8" t="s">
        <v>299</v>
      </c>
      <c r="D294" s="9" t="s">
        <v>7</v>
      </c>
      <c r="E294" s="10">
        <v>5.0</v>
      </c>
      <c r="F294" s="5">
        <f>IFERROR(__xludf.DUMMYFUNCTION("""COMPUTED_VALUE"""),1.30239850000361)</f>
        <v>1.3023985</v>
      </c>
    </row>
    <row r="295">
      <c r="A295" s="5" t="str">
        <f t="shared" si="2"/>
        <v>P2</v>
      </c>
      <c r="B295" s="7">
        <v>167.0</v>
      </c>
      <c r="C295" s="8" t="s">
        <v>300</v>
      </c>
      <c r="D295" s="9" t="s">
        <v>7</v>
      </c>
      <c r="E295" s="10">
        <v>5.0</v>
      </c>
      <c r="F295" s="5">
        <f>IFERROR(__xludf.DUMMYFUNCTION("""COMPUTED_VALUE"""),1.63260660000378)</f>
        <v>1.6326066</v>
      </c>
    </row>
    <row r="296">
      <c r="A296" s="5" t="str">
        <f t="shared" si="2"/>
        <v>P2</v>
      </c>
      <c r="B296" s="7">
        <v>168.0</v>
      </c>
      <c r="C296" s="8" t="s">
        <v>301</v>
      </c>
      <c r="D296" s="9" t="s">
        <v>7</v>
      </c>
      <c r="E296" s="10">
        <v>5.0</v>
      </c>
      <c r="F296" s="5">
        <f>IFERROR(__xludf.DUMMYFUNCTION("""COMPUTED_VALUE"""),1.43238259998906)</f>
        <v>1.4323826</v>
      </c>
    </row>
    <row r="297">
      <c r="A297" s="5" t="str">
        <f t="shared" si="2"/>
        <v>P2</v>
      </c>
      <c r="B297" s="7">
        <v>169.0</v>
      </c>
      <c r="C297" s="8" t="s">
        <v>302</v>
      </c>
      <c r="D297" s="9" t="s">
        <v>7</v>
      </c>
      <c r="E297" s="10">
        <v>10.0</v>
      </c>
      <c r="F297" s="5">
        <f>IFERROR(__xludf.DUMMYFUNCTION("""COMPUTED_VALUE"""),2.09785790000751)</f>
        <v>2.0978579</v>
      </c>
    </row>
    <row r="298">
      <c r="A298" s="5" t="str">
        <f t="shared" si="2"/>
        <v>P2</v>
      </c>
      <c r="B298" s="7">
        <v>170.0</v>
      </c>
      <c r="C298" s="8" t="s">
        <v>303</v>
      </c>
      <c r="D298" s="9" t="s">
        <v>7</v>
      </c>
      <c r="E298" s="10">
        <v>5.0</v>
      </c>
      <c r="F298" s="5">
        <f>IFERROR(__xludf.DUMMYFUNCTION("""COMPUTED_VALUE"""),1.37180779999471)</f>
        <v>1.3718078</v>
      </c>
    </row>
    <row r="299">
      <c r="A299" s="5" t="str">
        <f t="shared" si="2"/>
        <v>P2</v>
      </c>
      <c r="B299" s="7">
        <v>171.0</v>
      </c>
      <c r="C299" s="8" t="s">
        <v>304</v>
      </c>
      <c r="D299" s="9" t="s">
        <v>7</v>
      </c>
      <c r="E299" s="10">
        <v>10.0</v>
      </c>
      <c r="F299" s="5">
        <f>IFERROR(__xludf.DUMMYFUNCTION("""COMPUTED_VALUE"""),1.28320499999972)</f>
        <v>1.283205</v>
      </c>
    </row>
    <row r="300">
      <c r="A300" s="5" t="str">
        <f t="shared" si="2"/>
        <v>P2</v>
      </c>
      <c r="B300" s="7">
        <v>172.0</v>
      </c>
      <c r="C300" s="8" t="s">
        <v>305</v>
      </c>
      <c r="D300" s="9" t="s">
        <v>7</v>
      </c>
      <c r="E300" s="10">
        <v>10.0</v>
      </c>
      <c r="F300" s="5">
        <f>IFERROR(__xludf.DUMMYFUNCTION("""COMPUTED_VALUE"""),1.89557239999703)</f>
        <v>1.8955724</v>
      </c>
    </row>
    <row r="301">
      <c r="A301" s="5" t="str">
        <f t="shared" si="2"/>
        <v>P2</v>
      </c>
      <c r="B301" s="7">
        <v>173.0</v>
      </c>
      <c r="C301" s="8" t="s">
        <v>306</v>
      </c>
      <c r="D301" s="9" t="s">
        <v>7</v>
      </c>
      <c r="E301" s="10">
        <v>5.0</v>
      </c>
      <c r="F301" s="5">
        <f>IFERROR(__xludf.DUMMYFUNCTION("""COMPUTED_VALUE"""),1.7220687999943)</f>
        <v>1.7220688</v>
      </c>
    </row>
    <row r="302">
      <c r="A302" s="5" t="str">
        <f t="shared" si="2"/>
        <v>P2</v>
      </c>
      <c r="B302" s="7">
        <v>174.0</v>
      </c>
      <c r="C302" s="8" t="s">
        <v>307</v>
      </c>
      <c r="D302" s="9" t="s">
        <v>7</v>
      </c>
      <c r="E302" s="10">
        <v>5.0</v>
      </c>
      <c r="F302" s="5">
        <f>IFERROR(__xludf.DUMMYFUNCTION("""COMPUTED_VALUE"""),1.78759390000777)</f>
        <v>1.7875939</v>
      </c>
    </row>
    <row r="303">
      <c r="A303" s="5" t="str">
        <f t="shared" si="2"/>
        <v>P2</v>
      </c>
      <c r="B303" s="7">
        <v>175.0</v>
      </c>
      <c r="C303" s="8" t="s">
        <v>308</v>
      </c>
      <c r="D303" s="9" t="s">
        <v>7</v>
      </c>
      <c r="E303" s="10">
        <v>5.0</v>
      </c>
      <c r="F303" s="5">
        <f>IFERROR(__xludf.DUMMYFUNCTION("""COMPUTED_VALUE"""),2.64173540000047)</f>
        <v>2.6417354</v>
      </c>
    </row>
    <row r="304">
      <c r="A304" s="5" t="str">
        <f t="shared" si="2"/>
        <v>P2</v>
      </c>
      <c r="B304" s="7">
        <v>177.0</v>
      </c>
      <c r="C304" s="8" t="s">
        <v>309</v>
      </c>
      <c r="D304" s="9" t="s">
        <v>7</v>
      </c>
      <c r="E304" s="10">
        <v>10.0</v>
      </c>
      <c r="F304" s="5">
        <f>IFERROR(__xludf.DUMMYFUNCTION("""COMPUTED_VALUE"""),2.75619590000133)</f>
        <v>2.7561959</v>
      </c>
    </row>
    <row r="305">
      <c r="A305" s="5" t="str">
        <f t="shared" si="2"/>
        <v>P2</v>
      </c>
      <c r="B305" s="7">
        <v>179.0</v>
      </c>
      <c r="C305" s="8" t="s">
        <v>310</v>
      </c>
      <c r="D305" s="9" t="s">
        <v>7</v>
      </c>
      <c r="E305" s="10">
        <v>10.0</v>
      </c>
      <c r="F305" s="5">
        <f>IFERROR(__xludf.DUMMYFUNCTION("""COMPUTED_VALUE"""),2.50544480000098)</f>
        <v>2.5054448</v>
      </c>
    </row>
    <row r="306">
      <c r="A306" s="5" t="str">
        <f t="shared" si="2"/>
        <v>P2</v>
      </c>
      <c r="B306" s="7">
        <v>180.0</v>
      </c>
      <c r="C306" s="8" t="s">
        <v>311</v>
      </c>
      <c r="D306" s="9" t="s">
        <v>7</v>
      </c>
      <c r="E306" s="10">
        <v>10.0</v>
      </c>
      <c r="F306" s="5">
        <f>IFERROR(__xludf.DUMMYFUNCTION("""COMPUTED_VALUE"""),1.90147799999977)</f>
        <v>1.901478</v>
      </c>
    </row>
    <row r="307">
      <c r="A307" s="5" t="str">
        <f t="shared" si="2"/>
        <v>P2</v>
      </c>
      <c r="B307" s="7">
        <v>181.0</v>
      </c>
      <c r="C307" s="8" t="s">
        <v>312</v>
      </c>
      <c r="D307" s="9" t="s">
        <v>7</v>
      </c>
      <c r="E307" s="10">
        <v>10.0</v>
      </c>
      <c r="F307" s="5">
        <f>IFERROR(__xludf.DUMMYFUNCTION("""COMPUTED_VALUE"""),2.22347580001223)</f>
        <v>2.2234758</v>
      </c>
    </row>
    <row r="308">
      <c r="A308" s="5" t="str">
        <f t="shared" si="2"/>
        <v>P2</v>
      </c>
      <c r="B308" s="7">
        <v>182.0</v>
      </c>
      <c r="C308" s="8" t="s">
        <v>313</v>
      </c>
      <c r="D308" s="9" t="s">
        <v>7</v>
      </c>
      <c r="E308" s="10">
        <v>5.0</v>
      </c>
      <c r="F308" s="5">
        <f>IFERROR(__xludf.DUMMYFUNCTION("""COMPUTED_VALUE"""),4.52161569999589)</f>
        <v>4.5216157</v>
      </c>
    </row>
    <row r="309">
      <c r="A309" s="5" t="str">
        <f t="shared" si="2"/>
        <v>P2</v>
      </c>
      <c r="B309" s="7">
        <v>183.0</v>
      </c>
      <c r="C309" s="8" t="s">
        <v>314</v>
      </c>
      <c r="D309" s="9" t="s">
        <v>7</v>
      </c>
      <c r="E309" s="10">
        <v>5.0</v>
      </c>
      <c r="F309" s="5">
        <f>IFERROR(__xludf.DUMMYFUNCTION("""COMPUTED_VALUE"""),2.09548150000046)</f>
        <v>2.0954815</v>
      </c>
    </row>
    <row r="310">
      <c r="A310" s="5" t="str">
        <f t="shared" si="2"/>
        <v>P2</v>
      </c>
      <c r="B310" s="7">
        <v>184.0</v>
      </c>
      <c r="C310" s="8" t="s">
        <v>315</v>
      </c>
      <c r="D310" s="9" t="s">
        <v>7</v>
      </c>
      <c r="E310" s="10">
        <v>5.0</v>
      </c>
      <c r="F310" s="5">
        <f>IFERROR(__xludf.DUMMYFUNCTION("""COMPUTED_VALUE"""),6.04999119999411)</f>
        <v>6.0499912</v>
      </c>
    </row>
    <row r="311">
      <c r="A311" s="5" t="str">
        <f t="shared" si="2"/>
        <v>P2</v>
      </c>
      <c r="B311" s="7">
        <v>186.0</v>
      </c>
      <c r="C311" s="8" t="s">
        <v>316</v>
      </c>
      <c r="D311" s="9" t="s">
        <v>7</v>
      </c>
      <c r="E311" s="10">
        <v>10.0</v>
      </c>
      <c r="F311" s="5">
        <f>IFERROR(__xludf.DUMMYFUNCTION("""COMPUTED_VALUE"""),7.95216800000343)</f>
        <v>7.952168</v>
      </c>
    </row>
    <row r="312">
      <c r="A312" s="5" t="str">
        <f t="shared" si="2"/>
        <v>P2</v>
      </c>
      <c r="B312" s="7">
        <v>187.0</v>
      </c>
      <c r="C312" s="8" t="s">
        <v>317</v>
      </c>
      <c r="D312" s="9" t="s">
        <v>7</v>
      </c>
      <c r="E312" s="10">
        <v>10.0</v>
      </c>
      <c r="F312" s="5">
        <f>IFERROR(__xludf.DUMMYFUNCTION("""COMPUTED_VALUE"""),1.49867380000068)</f>
        <v>1.4986738</v>
      </c>
    </row>
    <row r="313">
      <c r="A313" s="5" t="str">
        <f t="shared" si="2"/>
        <v>P2</v>
      </c>
      <c r="B313" s="7">
        <v>188.0</v>
      </c>
      <c r="C313" s="8" t="s">
        <v>318</v>
      </c>
      <c r="D313" s="9" t="s">
        <v>7</v>
      </c>
      <c r="E313" s="10">
        <v>5.0</v>
      </c>
      <c r="F313" s="5">
        <f>IFERROR(__xludf.DUMMYFUNCTION("""COMPUTED_VALUE"""),4.84465830000408)</f>
        <v>4.8446583</v>
      </c>
    </row>
    <row r="314">
      <c r="A314" s="5" t="str">
        <f t="shared" si="2"/>
        <v>P2</v>
      </c>
      <c r="B314" s="7">
        <v>190.0</v>
      </c>
      <c r="C314" s="8" t="s">
        <v>319</v>
      </c>
      <c r="D314" s="9" t="s">
        <v>7</v>
      </c>
      <c r="E314" s="10">
        <v>5.0</v>
      </c>
      <c r="F314" s="5">
        <f>IFERROR(__xludf.DUMMYFUNCTION("""COMPUTED_VALUE"""),1.81132520000392)</f>
        <v>1.8113252</v>
      </c>
    </row>
    <row r="315">
      <c r="A315" s="5" t="str">
        <f t="shared" si="2"/>
        <v>P2</v>
      </c>
      <c r="B315" s="7">
        <v>191.0</v>
      </c>
      <c r="C315" s="8" t="s">
        <v>320</v>
      </c>
      <c r="D315" s="9" t="s">
        <v>7</v>
      </c>
      <c r="E315" s="10">
        <v>10.0</v>
      </c>
      <c r="F315" s="5">
        <f>IFERROR(__xludf.DUMMYFUNCTION("""COMPUTED_VALUE"""),2.31714549999742)</f>
        <v>2.3171455</v>
      </c>
    </row>
    <row r="316">
      <c r="A316" s="5" t="str">
        <f t="shared" si="2"/>
        <v>P2</v>
      </c>
      <c r="B316" s="7">
        <v>193.0</v>
      </c>
      <c r="C316" s="8" t="s">
        <v>321</v>
      </c>
      <c r="D316" s="9" t="s">
        <v>7</v>
      </c>
      <c r="E316" s="10">
        <v>10.0</v>
      </c>
      <c r="F316" s="5">
        <f>IFERROR(__xludf.DUMMYFUNCTION("""COMPUTED_VALUE"""),1.64312909998989)</f>
        <v>1.6431291</v>
      </c>
    </row>
    <row r="317">
      <c r="A317" s="5" t="str">
        <f t="shared" si="2"/>
        <v>P2</v>
      </c>
      <c r="B317" s="7">
        <v>194.0</v>
      </c>
      <c r="C317" s="8" t="s">
        <v>322</v>
      </c>
      <c r="D317" s="9" t="s">
        <v>7</v>
      </c>
      <c r="E317" s="10">
        <v>5.0</v>
      </c>
      <c r="F317" s="5">
        <f>IFERROR(__xludf.DUMMYFUNCTION("""COMPUTED_VALUE"""),1.75525380000181)</f>
        <v>1.7552538</v>
      </c>
    </row>
    <row r="318">
      <c r="A318" s="5" t="str">
        <f t="shared" si="2"/>
        <v>P2</v>
      </c>
      <c r="B318" s="7">
        <v>195.0</v>
      </c>
      <c r="C318" s="8" t="s">
        <v>323</v>
      </c>
      <c r="D318" s="9" t="s">
        <v>7</v>
      </c>
      <c r="E318" s="10">
        <v>5.0</v>
      </c>
      <c r="F318" s="5">
        <f>IFERROR(__xludf.DUMMYFUNCTION("""COMPUTED_VALUE"""),1.43980899998859)</f>
        <v>1.439809</v>
      </c>
    </row>
    <row r="319">
      <c r="A319" s="5" t="str">
        <f t="shared" si="2"/>
        <v>P2</v>
      </c>
      <c r="B319" s="7">
        <v>196.0</v>
      </c>
      <c r="C319" s="8" t="s">
        <v>324</v>
      </c>
      <c r="D319" s="9" t="s">
        <v>7</v>
      </c>
      <c r="E319" s="10">
        <v>10.0</v>
      </c>
      <c r="F319" s="5">
        <f>IFERROR(__xludf.DUMMYFUNCTION("""COMPUTED_VALUE"""),2.2322445000027)</f>
        <v>2.2322445</v>
      </c>
    </row>
    <row r="320">
      <c r="A320" s="5" t="str">
        <f t="shared" si="2"/>
        <v>P2</v>
      </c>
      <c r="B320" s="7">
        <v>197.0</v>
      </c>
      <c r="C320" s="8" t="s">
        <v>325</v>
      </c>
      <c r="D320" s="9" t="s">
        <v>7</v>
      </c>
      <c r="E320" s="10">
        <v>10.0</v>
      </c>
      <c r="F320" s="5">
        <f>IFERROR(__xludf.DUMMYFUNCTION("""COMPUTED_VALUE"""),1.98659300000872)</f>
        <v>1.986593</v>
      </c>
    </row>
    <row r="321">
      <c r="A321" s="5" t="str">
        <f t="shared" si="2"/>
        <v>P2</v>
      </c>
      <c r="B321" s="7">
        <v>198.0</v>
      </c>
      <c r="C321" s="8" t="s">
        <v>326</v>
      </c>
      <c r="D321" s="9" t="s">
        <v>7</v>
      </c>
      <c r="E321" s="10">
        <v>10.0</v>
      </c>
      <c r="F321" s="5">
        <f>IFERROR(__xludf.DUMMYFUNCTION("""COMPUTED_VALUE"""),3.29584279999835)</f>
        <v>3.2958428</v>
      </c>
    </row>
    <row r="322">
      <c r="A322" s="5" t="str">
        <f t="shared" si="2"/>
        <v>P2</v>
      </c>
      <c r="B322" s="7">
        <v>199.0</v>
      </c>
      <c r="C322" s="8" t="s">
        <v>327</v>
      </c>
      <c r="D322" s="9" t="s">
        <v>7</v>
      </c>
      <c r="E322" s="10">
        <v>10.0</v>
      </c>
      <c r="F322" s="5">
        <f>IFERROR(__xludf.DUMMYFUNCTION("""COMPUTED_VALUE"""),2.38227699999697)</f>
        <v>2.382277</v>
      </c>
    </row>
    <row r="323">
      <c r="A323" s="5" t="str">
        <f t="shared" ref="A323:A386" si="3">"P3"</f>
        <v>P3</v>
      </c>
      <c r="B323" s="7">
        <v>0.0</v>
      </c>
      <c r="C323" s="11" t="s">
        <v>328</v>
      </c>
      <c r="D323" s="12" t="s">
        <v>7</v>
      </c>
      <c r="E323" s="13">
        <v>5.0</v>
      </c>
      <c r="F323" s="5">
        <f>IFERROR(__xludf.DUMMYFUNCTION("""COMPUTED_VALUE"""),1.72786220000125)</f>
        <v>1.7278622</v>
      </c>
    </row>
    <row r="324">
      <c r="A324" s="5" t="str">
        <f t="shared" si="3"/>
        <v>P3</v>
      </c>
      <c r="B324" s="7">
        <v>1.0</v>
      </c>
      <c r="C324" s="11" t="s">
        <v>329</v>
      </c>
      <c r="D324" s="12" t="s">
        <v>7</v>
      </c>
      <c r="E324" s="13">
        <v>5.0</v>
      </c>
      <c r="F324" s="5">
        <f>IFERROR(__xludf.DUMMYFUNCTION("""COMPUTED_VALUE"""),1.63393490000453)</f>
        <v>1.6339349</v>
      </c>
    </row>
    <row r="325">
      <c r="A325" s="5" t="str">
        <f t="shared" si="3"/>
        <v>P3</v>
      </c>
      <c r="B325" s="7">
        <v>2.0</v>
      </c>
      <c r="C325" s="11" t="s">
        <v>330</v>
      </c>
      <c r="D325" s="12" t="s">
        <v>7</v>
      </c>
      <c r="E325" s="13">
        <v>5.0</v>
      </c>
      <c r="F325" s="5">
        <f>IFERROR(__xludf.DUMMYFUNCTION("""COMPUTED_VALUE"""),1.42360550000739)</f>
        <v>1.4236055</v>
      </c>
    </row>
    <row r="326">
      <c r="A326" s="5" t="str">
        <f t="shared" si="3"/>
        <v>P3</v>
      </c>
      <c r="B326" s="7">
        <v>4.0</v>
      </c>
      <c r="C326" s="11" t="s">
        <v>331</v>
      </c>
      <c r="D326" s="12" t="s">
        <v>7</v>
      </c>
      <c r="E326" s="13">
        <v>10.0</v>
      </c>
      <c r="F326" s="5">
        <f>IFERROR(__xludf.DUMMYFUNCTION("""COMPUTED_VALUE"""),1.87915410001005)</f>
        <v>1.8791541</v>
      </c>
    </row>
    <row r="327">
      <c r="A327" s="5" t="str">
        <f t="shared" si="3"/>
        <v>P3</v>
      </c>
      <c r="B327" s="7">
        <v>5.0</v>
      </c>
      <c r="C327" s="11" t="s">
        <v>332</v>
      </c>
      <c r="D327" s="12" t="s">
        <v>7</v>
      </c>
      <c r="E327" s="13">
        <v>10.0</v>
      </c>
      <c r="F327" s="5">
        <f>IFERROR(__xludf.DUMMYFUNCTION("""COMPUTED_VALUE"""),1.60932800000591)</f>
        <v>1.609328</v>
      </c>
    </row>
    <row r="328">
      <c r="A328" s="5" t="str">
        <f t="shared" si="3"/>
        <v>P3</v>
      </c>
      <c r="B328" s="7">
        <v>6.0</v>
      </c>
      <c r="C328" s="11" t="s">
        <v>333</v>
      </c>
      <c r="D328" s="12" t="s">
        <v>7</v>
      </c>
      <c r="E328" s="13">
        <v>5.0</v>
      </c>
      <c r="F328" s="5">
        <f>IFERROR(__xludf.DUMMYFUNCTION("""COMPUTED_VALUE"""),1.37357340000744)</f>
        <v>1.3735734</v>
      </c>
    </row>
    <row r="329">
      <c r="A329" s="5" t="str">
        <f t="shared" si="3"/>
        <v>P3</v>
      </c>
      <c r="B329" s="7">
        <v>8.0</v>
      </c>
      <c r="C329" s="11" t="s">
        <v>334</v>
      </c>
      <c r="D329" s="12" t="s">
        <v>7</v>
      </c>
      <c r="E329" s="13">
        <v>10.0</v>
      </c>
      <c r="F329" s="5">
        <f>IFERROR(__xludf.DUMMYFUNCTION("""COMPUTED_VALUE"""),1.62951040000189)</f>
        <v>1.6295104</v>
      </c>
    </row>
    <row r="330">
      <c r="A330" s="5" t="str">
        <f t="shared" si="3"/>
        <v>P3</v>
      </c>
      <c r="B330" s="7">
        <v>9.0</v>
      </c>
      <c r="C330" s="11" t="s">
        <v>335</v>
      </c>
      <c r="D330" s="12" t="s">
        <v>7</v>
      </c>
      <c r="E330" s="13">
        <v>5.0</v>
      </c>
      <c r="F330" s="5">
        <f>IFERROR(__xludf.DUMMYFUNCTION("""COMPUTED_VALUE"""),1.38794739999866)</f>
        <v>1.3879474</v>
      </c>
    </row>
    <row r="331">
      <c r="A331" s="5" t="str">
        <f t="shared" si="3"/>
        <v>P3</v>
      </c>
      <c r="B331" s="7">
        <v>10.0</v>
      </c>
      <c r="C331" s="11" t="s">
        <v>336</v>
      </c>
      <c r="D331" s="12" t="s">
        <v>7</v>
      </c>
      <c r="E331" s="13">
        <v>10.0</v>
      </c>
      <c r="F331" s="5">
        <f>IFERROR(__xludf.DUMMYFUNCTION("""COMPUTED_VALUE"""),3.51166720000037)</f>
        <v>3.5116672</v>
      </c>
    </row>
    <row r="332">
      <c r="A332" s="5" t="str">
        <f t="shared" si="3"/>
        <v>P3</v>
      </c>
      <c r="B332" s="7">
        <v>11.0</v>
      </c>
      <c r="C332" s="11" t="s">
        <v>337</v>
      </c>
      <c r="D332" s="12" t="s">
        <v>7</v>
      </c>
      <c r="E332" s="13">
        <v>10.0</v>
      </c>
      <c r="F332" s="5">
        <f>IFERROR(__xludf.DUMMYFUNCTION("""COMPUTED_VALUE"""),1.93538460000127)</f>
        <v>1.9353846</v>
      </c>
    </row>
    <row r="333">
      <c r="A333" s="5" t="str">
        <f t="shared" si="3"/>
        <v>P3</v>
      </c>
      <c r="B333" s="7">
        <v>13.0</v>
      </c>
      <c r="C333" s="11" t="s">
        <v>338</v>
      </c>
      <c r="D333" s="12" t="s">
        <v>7</v>
      </c>
      <c r="E333" s="13">
        <v>10.0</v>
      </c>
      <c r="F333" s="5">
        <f>IFERROR(__xludf.DUMMYFUNCTION("""COMPUTED_VALUE"""),1.51574309999705)</f>
        <v>1.5157431</v>
      </c>
    </row>
    <row r="334">
      <c r="A334" s="5" t="str">
        <f t="shared" si="3"/>
        <v>P3</v>
      </c>
      <c r="B334" s="7">
        <v>14.0</v>
      </c>
      <c r="C334" s="11" t="s">
        <v>339</v>
      </c>
      <c r="D334" s="12" t="s">
        <v>7</v>
      </c>
      <c r="E334" s="13">
        <v>5.0</v>
      </c>
      <c r="F334" s="5">
        <f>IFERROR(__xludf.DUMMYFUNCTION("""COMPUTED_VALUE"""),1.56579339999007)</f>
        <v>1.5657934</v>
      </c>
    </row>
    <row r="335">
      <c r="A335" s="5" t="str">
        <f t="shared" si="3"/>
        <v>P3</v>
      </c>
      <c r="B335" s="7">
        <v>15.0</v>
      </c>
      <c r="C335" s="11" t="s">
        <v>340</v>
      </c>
      <c r="D335" s="12" t="s">
        <v>7</v>
      </c>
      <c r="E335" s="13">
        <v>5.0</v>
      </c>
      <c r="F335" s="5">
        <f>IFERROR(__xludf.DUMMYFUNCTION("""COMPUTED_VALUE"""),1.80393330000515)</f>
        <v>1.8039333</v>
      </c>
    </row>
    <row r="336">
      <c r="A336" s="5" t="str">
        <f t="shared" si="3"/>
        <v>P3</v>
      </c>
      <c r="B336" s="7">
        <v>16.0</v>
      </c>
      <c r="C336" s="11" t="s">
        <v>341</v>
      </c>
      <c r="D336" s="12" t="s">
        <v>7</v>
      </c>
      <c r="E336" s="13">
        <v>10.0</v>
      </c>
      <c r="F336" s="5">
        <f>IFERROR(__xludf.DUMMYFUNCTION("""COMPUTED_VALUE"""),1.90273750000051)</f>
        <v>1.9027375</v>
      </c>
    </row>
    <row r="337">
      <c r="A337" s="5" t="str">
        <f t="shared" si="3"/>
        <v>P3</v>
      </c>
      <c r="B337" s="7">
        <v>17.0</v>
      </c>
      <c r="C337" s="11" t="s">
        <v>342</v>
      </c>
      <c r="D337" s="12" t="s">
        <v>7</v>
      </c>
      <c r="E337" s="13">
        <v>10.0</v>
      </c>
      <c r="F337" s="5">
        <f>IFERROR(__xludf.DUMMYFUNCTION("""COMPUTED_VALUE"""),2.16796819999581)</f>
        <v>2.1679682</v>
      </c>
    </row>
    <row r="338">
      <c r="A338" s="5" t="str">
        <f t="shared" si="3"/>
        <v>P3</v>
      </c>
      <c r="B338" s="7">
        <v>18.0</v>
      </c>
      <c r="C338" s="11" t="s">
        <v>343</v>
      </c>
      <c r="D338" s="12" t="s">
        <v>7</v>
      </c>
      <c r="E338" s="13">
        <v>5.0</v>
      </c>
      <c r="F338" s="5">
        <f>IFERROR(__xludf.DUMMYFUNCTION("""COMPUTED_VALUE"""),1.29986970000027)</f>
        <v>1.2998697</v>
      </c>
    </row>
    <row r="339">
      <c r="A339" s="5" t="str">
        <f t="shared" si="3"/>
        <v>P3</v>
      </c>
      <c r="B339" s="7">
        <v>19.0</v>
      </c>
      <c r="C339" s="11" t="s">
        <v>344</v>
      </c>
      <c r="D339" s="12" t="s">
        <v>7</v>
      </c>
      <c r="E339" s="13">
        <v>10.0</v>
      </c>
      <c r="F339" s="5">
        <f>IFERROR(__xludf.DUMMYFUNCTION("""COMPUTED_VALUE"""),1.72982629999751)</f>
        <v>1.7298263</v>
      </c>
    </row>
    <row r="340">
      <c r="A340" s="5" t="str">
        <f t="shared" si="3"/>
        <v>P3</v>
      </c>
      <c r="B340" s="7">
        <v>20.0</v>
      </c>
      <c r="C340" s="11" t="s">
        <v>345</v>
      </c>
      <c r="D340" s="12" t="s">
        <v>7</v>
      </c>
      <c r="E340" s="13">
        <v>10.0</v>
      </c>
      <c r="F340" s="5">
        <f>IFERROR(__xludf.DUMMYFUNCTION("""COMPUTED_VALUE"""),1.5545065000042)</f>
        <v>1.5545065</v>
      </c>
    </row>
    <row r="341">
      <c r="A341" s="5" t="str">
        <f t="shared" si="3"/>
        <v>P3</v>
      </c>
      <c r="B341" s="7">
        <v>21.0</v>
      </c>
      <c r="C341" s="11" t="s">
        <v>346</v>
      </c>
      <c r="D341" s="12" t="s">
        <v>7</v>
      </c>
      <c r="E341" s="13">
        <v>5.0</v>
      </c>
      <c r="F341" s="5">
        <f>IFERROR(__xludf.DUMMYFUNCTION("""COMPUTED_VALUE"""),2.16233219999412)</f>
        <v>2.1623322</v>
      </c>
    </row>
    <row r="342">
      <c r="A342" s="5" t="str">
        <f t="shared" si="3"/>
        <v>P3</v>
      </c>
      <c r="B342" s="7">
        <v>22.0</v>
      </c>
      <c r="C342" s="11" t="s">
        <v>347</v>
      </c>
      <c r="D342" s="12" t="s">
        <v>7</v>
      </c>
      <c r="E342" s="13">
        <v>10.0</v>
      </c>
      <c r="F342" s="5">
        <f>IFERROR(__xludf.DUMMYFUNCTION("""COMPUTED_VALUE"""),2.6005898000003)</f>
        <v>2.6005898</v>
      </c>
    </row>
    <row r="343">
      <c r="A343" s="5" t="str">
        <f t="shared" si="3"/>
        <v>P3</v>
      </c>
      <c r="B343" s="7">
        <v>23.0</v>
      </c>
      <c r="C343" s="11" t="s">
        <v>348</v>
      </c>
      <c r="D343" s="12" t="s">
        <v>7</v>
      </c>
      <c r="E343" s="13">
        <v>10.0</v>
      </c>
      <c r="F343" s="5">
        <f>IFERROR(__xludf.DUMMYFUNCTION("""COMPUTED_VALUE"""),2.37021449999883)</f>
        <v>2.3702145</v>
      </c>
    </row>
    <row r="344">
      <c r="A344" s="5" t="str">
        <f t="shared" si="3"/>
        <v>P3</v>
      </c>
      <c r="B344" s="7">
        <v>24.0</v>
      </c>
      <c r="C344" s="11" t="s">
        <v>349</v>
      </c>
      <c r="D344" s="12" t="s">
        <v>7</v>
      </c>
      <c r="E344" s="13">
        <v>5.0</v>
      </c>
      <c r="F344" s="5">
        <f>IFERROR(__xludf.DUMMYFUNCTION("""COMPUTED_VALUE"""),1.52481099999567)</f>
        <v>1.524811</v>
      </c>
    </row>
    <row r="345">
      <c r="A345" s="5" t="str">
        <f t="shared" si="3"/>
        <v>P3</v>
      </c>
      <c r="B345" s="7">
        <v>25.0</v>
      </c>
      <c r="C345" s="11" t="s">
        <v>350</v>
      </c>
      <c r="D345" s="12" t="s">
        <v>7</v>
      </c>
      <c r="E345" s="13">
        <v>5.0</v>
      </c>
      <c r="F345" s="5">
        <f>IFERROR(__xludf.DUMMYFUNCTION("""COMPUTED_VALUE"""),1.47374970000237)</f>
        <v>1.4737497</v>
      </c>
    </row>
    <row r="346">
      <c r="A346" s="5" t="str">
        <f t="shared" si="3"/>
        <v>P3</v>
      </c>
      <c r="B346" s="7">
        <v>26.0</v>
      </c>
      <c r="C346" s="11" t="s">
        <v>351</v>
      </c>
      <c r="D346" s="12" t="s">
        <v>7</v>
      </c>
      <c r="E346" s="13">
        <v>5.0</v>
      </c>
      <c r="F346" s="5">
        <f>IFERROR(__xludf.DUMMYFUNCTION("""COMPUTED_VALUE"""),1.71713469999667)</f>
        <v>1.7171347</v>
      </c>
    </row>
    <row r="347">
      <c r="A347" s="5" t="str">
        <f t="shared" si="3"/>
        <v>P3</v>
      </c>
      <c r="B347" s="7">
        <v>27.0</v>
      </c>
      <c r="C347" s="11" t="s">
        <v>352</v>
      </c>
      <c r="D347" s="12" t="s">
        <v>7</v>
      </c>
      <c r="E347" s="13">
        <v>5.0</v>
      </c>
      <c r="F347" s="5">
        <f>IFERROR(__xludf.DUMMYFUNCTION("""COMPUTED_VALUE"""),1.55765309999696)</f>
        <v>1.5576531</v>
      </c>
    </row>
    <row r="348">
      <c r="A348" s="5" t="str">
        <f t="shared" si="3"/>
        <v>P3</v>
      </c>
      <c r="B348" s="7">
        <v>28.0</v>
      </c>
      <c r="C348" s="11" t="s">
        <v>353</v>
      </c>
      <c r="D348" s="12" t="s">
        <v>7</v>
      </c>
      <c r="E348" s="13">
        <v>10.0</v>
      </c>
      <c r="F348" s="5">
        <f>IFERROR(__xludf.DUMMYFUNCTION("""COMPUTED_VALUE"""),1.73675799999909)</f>
        <v>1.736758</v>
      </c>
    </row>
    <row r="349">
      <c r="A349" s="5" t="str">
        <f t="shared" si="3"/>
        <v>P3</v>
      </c>
      <c r="B349" s="7">
        <v>32.0</v>
      </c>
      <c r="C349" s="11" t="s">
        <v>354</v>
      </c>
      <c r="D349" s="12" t="s">
        <v>7</v>
      </c>
      <c r="E349" s="13">
        <v>5.0</v>
      </c>
      <c r="F349" s="5">
        <f>IFERROR(__xludf.DUMMYFUNCTION("""COMPUTED_VALUE"""),1.59966830001212)</f>
        <v>1.5996683</v>
      </c>
    </row>
    <row r="350">
      <c r="A350" s="5" t="str">
        <f t="shared" si="3"/>
        <v>P3</v>
      </c>
      <c r="B350" s="7">
        <v>33.0</v>
      </c>
      <c r="C350" s="11" t="s">
        <v>355</v>
      </c>
      <c r="D350" s="12" t="s">
        <v>7</v>
      </c>
      <c r="E350" s="13">
        <v>5.0</v>
      </c>
      <c r="F350" s="5">
        <f>IFERROR(__xludf.DUMMYFUNCTION("""COMPUTED_VALUE"""),1.88095180000527)</f>
        <v>1.8809518</v>
      </c>
    </row>
    <row r="351">
      <c r="A351" s="5" t="str">
        <f t="shared" si="3"/>
        <v>P3</v>
      </c>
      <c r="B351" s="7">
        <v>34.0</v>
      </c>
      <c r="C351" s="11" t="s">
        <v>356</v>
      </c>
      <c r="D351" s="12" t="s">
        <v>7</v>
      </c>
      <c r="E351" s="13">
        <v>5.0</v>
      </c>
      <c r="F351" s="5">
        <f>IFERROR(__xludf.DUMMYFUNCTION("""COMPUTED_VALUE"""),1.73159760000999)</f>
        <v>1.7315976</v>
      </c>
    </row>
    <row r="352">
      <c r="A352" s="5" t="str">
        <f t="shared" si="3"/>
        <v>P3</v>
      </c>
      <c r="B352" s="7">
        <v>35.0</v>
      </c>
      <c r="C352" s="11" t="s">
        <v>357</v>
      </c>
      <c r="D352" s="12" t="s">
        <v>7</v>
      </c>
      <c r="E352" s="13">
        <v>10.0</v>
      </c>
      <c r="F352" s="5">
        <f>IFERROR(__xludf.DUMMYFUNCTION("""COMPUTED_VALUE"""),1.4953824999975)</f>
        <v>1.4953825</v>
      </c>
    </row>
    <row r="353">
      <c r="A353" s="5" t="str">
        <f t="shared" si="3"/>
        <v>P3</v>
      </c>
      <c r="B353" s="7">
        <v>36.0</v>
      </c>
      <c r="C353" s="11" t="s">
        <v>358</v>
      </c>
      <c r="D353" s="12" t="s">
        <v>7</v>
      </c>
      <c r="E353" s="13">
        <v>5.0</v>
      </c>
      <c r="F353" s="5">
        <f>IFERROR(__xludf.DUMMYFUNCTION("""COMPUTED_VALUE"""),1.326756200011)</f>
        <v>1.3267562</v>
      </c>
    </row>
    <row r="354">
      <c r="A354" s="5" t="str">
        <f t="shared" si="3"/>
        <v>P3</v>
      </c>
      <c r="B354" s="7">
        <v>37.0</v>
      </c>
      <c r="C354" s="11" t="s">
        <v>359</v>
      </c>
      <c r="D354" s="12" t="s">
        <v>7</v>
      </c>
      <c r="E354" s="13">
        <v>10.0</v>
      </c>
      <c r="F354" s="5">
        <f>IFERROR(__xludf.DUMMYFUNCTION("""COMPUTED_VALUE"""),2.87269879999803)</f>
        <v>2.8726988</v>
      </c>
    </row>
    <row r="355">
      <c r="A355" s="5" t="str">
        <f t="shared" si="3"/>
        <v>P3</v>
      </c>
      <c r="B355" s="7">
        <v>38.0</v>
      </c>
      <c r="C355" s="11" t="s">
        <v>360</v>
      </c>
      <c r="D355" s="12" t="s">
        <v>7</v>
      </c>
      <c r="E355" s="13">
        <v>5.0</v>
      </c>
      <c r="F355" s="5">
        <f>IFERROR(__xludf.DUMMYFUNCTION("""COMPUTED_VALUE"""),1.24319209999521)</f>
        <v>1.2431921</v>
      </c>
    </row>
    <row r="356">
      <c r="A356" s="5" t="str">
        <f t="shared" si="3"/>
        <v>P3</v>
      </c>
      <c r="B356" s="7">
        <v>39.0</v>
      </c>
      <c r="C356" s="11" t="s">
        <v>361</v>
      </c>
      <c r="D356" s="12" t="s">
        <v>7</v>
      </c>
      <c r="E356" s="13">
        <v>10.0</v>
      </c>
      <c r="F356" s="5">
        <f>IFERROR(__xludf.DUMMYFUNCTION("""COMPUTED_VALUE"""),1.28475679999974)</f>
        <v>1.2847568</v>
      </c>
    </row>
    <row r="357">
      <c r="A357" s="5" t="str">
        <f t="shared" si="3"/>
        <v>P3</v>
      </c>
      <c r="B357" s="7">
        <v>41.0</v>
      </c>
      <c r="C357" s="11" t="s">
        <v>362</v>
      </c>
      <c r="D357" s="12" t="s">
        <v>7</v>
      </c>
      <c r="E357" s="13">
        <v>5.0</v>
      </c>
      <c r="F357" s="5">
        <f>IFERROR(__xludf.DUMMYFUNCTION("""COMPUTED_VALUE"""),1.70120009999664)</f>
        <v>1.7012001</v>
      </c>
    </row>
    <row r="358">
      <c r="A358" s="5" t="str">
        <f t="shared" si="3"/>
        <v>P3</v>
      </c>
      <c r="B358" s="7">
        <v>42.0</v>
      </c>
      <c r="C358" s="11" t="s">
        <v>363</v>
      </c>
      <c r="D358" s="12" t="s">
        <v>7</v>
      </c>
      <c r="E358" s="13">
        <v>5.0</v>
      </c>
      <c r="F358" s="5">
        <f>IFERROR(__xludf.DUMMYFUNCTION("""COMPUTED_VALUE"""),2.63096160000714)</f>
        <v>2.6309616</v>
      </c>
    </row>
    <row r="359">
      <c r="A359" s="5" t="str">
        <f t="shared" si="3"/>
        <v>P3</v>
      </c>
      <c r="B359" s="7">
        <v>43.0</v>
      </c>
      <c r="C359" s="11" t="s">
        <v>364</v>
      </c>
      <c r="D359" s="12" t="s">
        <v>7</v>
      </c>
      <c r="E359" s="13">
        <v>10.0</v>
      </c>
      <c r="F359" s="5">
        <f>IFERROR(__xludf.DUMMYFUNCTION("""COMPUTED_VALUE"""),2.5654993999924)</f>
        <v>2.5654994</v>
      </c>
    </row>
    <row r="360">
      <c r="A360" s="5" t="str">
        <f t="shared" si="3"/>
        <v>P3</v>
      </c>
      <c r="B360" s="7">
        <v>44.0</v>
      </c>
      <c r="C360" s="11" t="s">
        <v>365</v>
      </c>
      <c r="D360" s="12" t="s">
        <v>7</v>
      </c>
      <c r="E360" s="13">
        <v>10.0</v>
      </c>
      <c r="F360" s="5">
        <f>IFERROR(__xludf.DUMMYFUNCTION("""COMPUTED_VALUE"""),1.36212140000134)</f>
        <v>1.3621214</v>
      </c>
    </row>
    <row r="361">
      <c r="A361" s="5" t="str">
        <f t="shared" si="3"/>
        <v>P3</v>
      </c>
      <c r="B361" s="7">
        <v>45.0</v>
      </c>
      <c r="C361" s="11" t="s">
        <v>366</v>
      </c>
      <c r="D361" s="12" t="s">
        <v>7</v>
      </c>
      <c r="E361" s="13">
        <v>10.0</v>
      </c>
      <c r="F361" s="5">
        <f>IFERROR(__xludf.DUMMYFUNCTION("""COMPUTED_VALUE"""),1.70428489999903)</f>
        <v>1.7042849</v>
      </c>
    </row>
    <row r="362">
      <c r="A362" s="5" t="str">
        <f t="shared" si="3"/>
        <v>P3</v>
      </c>
      <c r="B362" s="7">
        <v>46.0</v>
      </c>
      <c r="C362" s="11" t="s">
        <v>367</v>
      </c>
      <c r="D362" s="12" t="s">
        <v>7</v>
      </c>
      <c r="E362" s="13">
        <v>5.0</v>
      </c>
      <c r="F362" s="5">
        <f>IFERROR(__xludf.DUMMYFUNCTION("""COMPUTED_VALUE"""),1.8878177999868)</f>
        <v>1.8878178</v>
      </c>
    </row>
    <row r="363">
      <c r="A363" s="5" t="str">
        <f t="shared" si="3"/>
        <v>P3</v>
      </c>
      <c r="B363" s="7">
        <v>48.0</v>
      </c>
      <c r="C363" s="11" t="s">
        <v>368</v>
      </c>
      <c r="D363" s="12" t="s">
        <v>7</v>
      </c>
      <c r="E363" s="13">
        <v>5.0</v>
      </c>
      <c r="F363" s="5">
        <f>IFERROR(__xludf.DUMMYFUNCTION("""COMPUTED_VALUE"""),1.19442090000666)</f>
        <v>1.1944209</v>
      </c>
    </row>
    <row r="364">
      <c r="A364" s="5" t="str">
        <f t="shared" si="3"/>
        <v>P3</v>
      </c>
      <c r="B364" s="7">
        <v>49.0</v>
      </c>
      <c r="C364" s="11" t="s">
        <v>369</v>
      </c>
      <c r="D364" s="12" t="s">
        <v>7</v>
      </c>
      <c r="E364" s="13">
        <v>5.0</v>
      </c>
      <c r="F364" s="5">
        <f>IFERROR(__xludf.DUMMYFUNCTION("""COMPUTED_VALUE"""),1.58835320000071)</f>
        <v>1.5883532</v>
      </c>
    </row>
    <row r="365">
      <c r="A365" s="5" t="str">
        <f t="shared" si="3"/>
        <v>P3</v>
      </c>
      <c r="B365" s="7">
        <v>50.0</v>
      </c>
      <c r="C365" s="11" t="s">
        <v>370</v>
      </c>
      <c r="D365" s="12" t="s">
        <v>7</v>
      </c>
      <c r="E365" s="13">
        <v>10.0</v>
      </c>
      <c r="F365" s="5">
        <f>IFERROR(__xludf.DUMMYFUNCTION("""COMPUTED_VALUE"""),1.69608710000466)</f>
        <v>1.6960871</v>
      </c>
    </row>
    <row r="366">
      <c r="A366" s="5" t="str">
        <f t="shared" si="3"/>
        <v>P3</v>
      </c>
      <c r="B366" s="7">
        <v>51.0</v>
      </c>
      <c r="C366" s="11" t="s">
        <v>371</v>
      </c>
      <c r="D366" s="12" t="s">
        <v>7</v>
      </c>
      <c r="E366" s="13">
        <v>10.0</v>
      </c>
      <c r="F366" s="5">
        <f>IFERROR(__xludf.DUMMYFUNCTION("""COMPUTED_VALUE"""),1.32233310000447)</f>
        <v>1.3223331</v>
      </c>
    </row>
    <row r="367">
      <c r="A367" s="5" t="str">
        <f t="shared" si="3"/>
        <v>P3</v>
      </c>
      <c r="B367" s="7">
        <v>52.0</v>
      </c>
      <c r="C367" s="11" t="s">
        <v>372</v>
      </c>
      <c r="D367" s="12" t="s">
        <v>7</v>
      </c>
      <c r="E367" s="13">
        <v>5.0</v>
      </c>
      <c r="F367" s="5">
        <f>IFERROR(__xludf.DUMMYFUNCTION("""COMPUTED_VALUE"""),2.18059190000349)</f>
        <v>2.1805919</v>
      </c>
    </row>
    <row r="368">
      <c r="A368" s="5" t="str">
        <f t="shared" si="3"/>
        <v>P3</v>
      </c>
      <c r="B368" s="7">
        <v>53.0</v>
      </c>
      <c r="C368" s="11" t="s">
        <v>373</v>
      </c>
      <c r="D368" s="12" t="s">
        <v>7</v>
      </c>
      <c r="E368" s="13">
        <v>10.0</v>
      </c>
      <c r="F368" s="5">
        <f>IFERROR(__xludf.DUMMYFUNCTION("""COMPUTED_VALUE"""),1.98458540000137)</f>
        <v>1.9845854</v>
      </c>
    </row>
    <row r="369">
      <c r="A369" s="5" t="str">
        <f t="shared" si="3"/>
        <v>P3</v>
      </c>
      <c r="B369" s="7">
        <v>54.0</v>
      </c>
      <c r="C369" s="11" t="s">
        <v>374</v>
      </c>
      <c r="D369" s="12" t="s">
        <v>7</v>
      </c>
      <c r="E369" s="13">
        <v>5.0</v>
      </c>
      <c r="F369" s="5">
        <f>IFERROR(__xludf.DUMMYFUNCTION("""COMPUTED_VALUE"""),0.996580999999423)</f>
        <v>0.996581</v>
      </c>
    </row>
    <row r="370">
      <c r="A370" s="5" t="str">
        <f t="shared" si="3"/>
        <v>P3</v>
      </c>
      <c r="B370" s="7">
        <v>55.0</v>
      </c>
      <c r="C370" s="11" t="s">
        <v>375</v>
      </c>
      <c r="D370" s="12" t="s">
        <v>7</v>
      </c>
      <c r="E370" s="13">
        <v>5.0</v>
      </c>
      <c r="F370" s="5">
        <f>IFERROR(__xludf.DUMMYFUNCTION("""COMPUTED_VALUE"""),1.27408439999271)</f>
        <v>1.2740844</v>
      </c>
    </row>
    <row r="371">
      <c r="A371" s="5" t="str">
        <f t="shared" si="3"/>
        <v>P3</v>
      </c>
      <c r="B371" s="7">
        <v>56.0</v>
      </c>
      <c r="C371" s="11" t="s">
        <v>376</v>
      </c>
      <c r="D371" s="12" t="s">
        <v>7</v>
      </c>
      <c r="E371" s="13">
        <v>10.0</v>
      </c>
      <c r="F371" s="5">
        <f>IFERROR(__xludf.DUMMYFUNCTION("""COMPUTED_VALUE"""),1.3175470999995)</f>
        <v>1.3175471</v>
      </c>
    </row>
    <row r="372">
      <c r="A372" s="5" t="str">
        <f t="shared" si="3"/>
        <v>P3</v>
      </c>
      <c r="B372" s="7">
        <v>57.0</v>
      </c>
      <c r="C372" s="11" t="s">
        <v>377</v>
      </c>
      <c r="D372" s="12" t="s">
        <v>7</v>
      </c>
      <c r="E372" s="13">
        <v>5.0</v>
      </c>
      <c r="F372" s="5">
        <f>IFERROR(__xludf.DUMMYFUNCTION("""COMPUTED_VALUE"""),1.97793420001107)</f>
        <v>1.9779342</v>
      </c>
    </row>
    <row r="373">
      <c r="A373" s="5" t="str">
        <f t="shared" si="3"/>
        <v>P3</v>
      </c>
      <c r="B373" s="7">
        <v>58.0</v>
      </c>
      <c r="C373" s="11" t="s">
        <v>378</v>
      </c>
      <c r="D373" s="12" t="s">
        <v>7</v>
      </c>
      <c r="E373" s="13">
        <v>10.0</v>
      </c>
      <c r="F373" s="5">
        <f>IFERROR(__xludf.DUMMYFUNCTION("""COMPUTED_VALUE"""),1.41984309999679)</f>
        <v>1.4198431</v>
      </c>
    </row>
    <row r="374">
      <c r="A374" s="5" t="str">
        <f t="shared" si="3"/>
        <v>P3</v>
      </c>
      <c r="B374" s="7">
        <v>59.0</v>
      </c>
      <c r="C374" s="11" t="s">
        <v>379</v>
      </c>
      <c r="D374" s="12" t="s">
        <v>7</v>
      </c>
      <c r="E374" s="13">
        <v>10.0</v>
      </c>
      <c r="F374" s="5">
        <f>IFERROR(__xludf.DUMMYFUNCTION("""COMPUTED_VALUE"""),2.04781559998809)</f>
        <v>2.0478156</v>
      </c>
    </row>
    <row r="375">
      <c r="A375" s="5" t="str">
        <f t="shared" si="3"/>
        <v>P3</v>
      </c>
      <c r="B375" s="7">
        <v>60.0</v>
      </c>
      <c r="C375" s="11" t="s">
        <v>380</v>
      </c>
      <c r="D375" s="12" t="s">
        <v>7</v>
      </c>
      <c r="E375" s="13">
        <v>5.0</v>
      </c>
      <c r="F375" s="5">
        <f>IFERROR(__xludf.DUMMYFUNCTION("""COMPUTED_VALUE"""),2.26407920000201)</f>
        <v>2.2640792</v>
      </c>
    </row>
    <row r="376">
      <c r="A376" s="5" t="str">
        <f t="shared" si="3"/>
        <v>P3</v>
      </c>
      <c r="B376" s="7">
        <v>62.0</v>
      </c>
      <c r="C376" s="11" t="s">
        <v>381</v>
      </c>
      <c r="D376" s="12" t="s">
        <v>7</v>
      </c>
      <c r="E376" s="13">
        <v>10.0</v>
      </c>
      <c r="F376" s="5">
        <f>IFERROR(__xludf.DUMMYFUNCTION("""COMPUTED_VALUE"""),1.3047946000006)</f>
        <v>1.3047946</v>
      </c>
    </row>
    <row r="377">
      <c r="A377" s="5" t="str">
        <f t="shared" si="3"/>
        <v>P3</v>
      </c>
      <c r="B377" s="7">
        <v>63.0</v>
      </c>
      <c r="C377" s="11" t="s">
        <v>382</v>
      </c>
      <c r="D377" s="12" t="s">
        <v>7</v>
      </c>
      <c r="E377" s="13">
        <v>10.0</v>
      </c>
      <c r="F377" s="5">
        <f>IFERROR(__xludf.DUMMYFUNCTION("""COMPUTED_VALUE"""),2.11754669999936)</f>
        <v>2.1175467</v>
      </c>
    </row>
    <row r="378">
      <c r="A378" s="5" t="str">
        <f t="shared" si="3"/>
        <v>P3</v>
      </c>
      <c r="B378" s="7">
        <v>64.0</v>
      </c>
      <c r="C378" s="11" t="s">
        <v>383</v>
      </c>
      <c r="D378" s="12" t="s">
        <v>7</v>
      </c>
      <c r="E378" s="13">
        <v>5.0</v>
      </c>
      <c r="F378" s="5">
        <f>IFERROR(__xludf.DUMMYFUNCTION("""COMPUTED_VALUE"""),1.41833660000702)</f>
        <v>1.4183366</v>
      </c>
    </row>
    <row r="379">
      <c r="A379" s="5" t="str">
        <f t="shared" si="3"/>
        <v>P3</v>
      </c>
      <c r="B379" s="7">
        <v>66.0</v>
      </c>
      <c r="C379" s="11" t="s">
        <v>384</v>
      </c>
      <c r="D379" s="12" t="s">
        <v>7</v>
      </c>
      <c r="E379" s="13">
        <v>10.0</v>
      </c>
      <c r="F379" s="5">
        <f>IFERROR(__xludf.DUMMYFUNCTION("""COMPUTED_VALUE"""),1.58628809999208)</f>
        <v>1.5862881</v>
      </c>
    </row>
    <row r="380">
      <c r="A380" s="5" t="str">
        <f t="shared" si="3"/>
        <v>P3</v>
      </c>
      <c r="B380" s="7">
        <v>67.0</v>
      </c>
      <c r="C380" s="11" t="s">
        <v>385</v>
      </c>
      <c r="D380" s="12" t="s">
        <v>7</v>
      </c>
      <c r="E380" s="13">
        <v>5.0</v>
      </c>
      <c r="F380" s="5">
        <f>IFERROR(__xludf.DUMMYFUNCTION("""COMPUTED_VALUE"""),1.67942949999996)</f>
        <v>1.6794295</v>
      </c>
    </row>
    <row r="381">
      <c r="A381" s="5" t="str">
        <f t="shared" si="3"/>
        <v>P3</v>
      </c>
      <c r="B381" s="7">
        <v>68.0</v>
      </c>
      <c r="C381" s="11" t="s">
        <v>386</v>
      </c>
      <c r="D381" s="12" t="s">
        <v>7</v>
      </c>
      <c r="E381" s="13">
        <v>5.0</v>
      </c>
      <c r="F381" s="5">
        <f>IFERROR(__xludf.DUMMYFUNCTION("""COMPUTED_VALUE"""),1.81626930000493)</f>
        <v>1.8162693</v>
      </c>
    </row>
    <row r="382">
      <c r="A382" s="5" t="str">
        <f t="shared" si="3"/>
        <v>P3</v>
      </c>
      <c r="B382" s="7">
        <v>69.0</v>
      </c>
      <c r="C382" s="11" t="s">
        <v>387</v>
      </c>
      <c r="D382" s="12" t="s">
        <v>7</v>
      </c>
      <c r="E382" s="13">
        <v>10.0</v>
      </c>
      <c r="F382" s="5">
        <f>IFERROR(__xludf.DUMMYFUNCTION("""COMPUTED_VALUE"""),2.56547860000864)</f>
        <v>2.5654786</v>
      </c>
    </row>
    <row r="383">
      <c r="A383" s="5" t="str">
        <f t="shared" si="3"/>
        <v>P3</v>
      </c>
      <c r="B383" s="7">
        <v>70.0</v>
      </c>
      <c r="C383" s="11" t="s">
        <v>388</v>
      </c>
      <c r="D383" s="12" t="s">
        <v>7</v>
      </c>
      <c r="E383" s="13">
        <v>10.0</v>
      </c>
      <c r="F383" s="5">
        <f>IFERROR(__xludf.DUMMYFUNCTION("""COMPUTED_VALUE"""),1.70141909999074)</f>
        <v>1.7014191</v>
      </c>
    </row>
    <row r="384">
      <c r="A384" s="5" t="str">
        <f t="shared" si="3"/>
        <v>P3</v>
      </c>
      <c r="B384" s="7">
        <v>71.0</v>
      </c>
      <c r="C384" s="11" t="s">
        <v>389</v>
      </c>
      <c r="D384" s="12" t="s">
        <v>7</v>
      </c>
      <c r="E384" s="13">
        <v>5.0</v>
      </c>
      <c r="F384" s="5">
        <f>IFERROR(__xludf.DUMMYFUNCTION("""COMPUTED_VALUE"""),2.48034869998809)</f>
        <v>2.4803487</v>
      </c>
    </row>
    <row r="385">
      <c r="A385" s="5" t="str">
        <f t="shared" si="3"/>
        <v>P3</v>
      </c>
      <c r="B385" s="7">
        <v>72.0</v>
      </c>
      <c r="C385" s="11" t="s">
        <v>390</v>
      </c>
      <c r="D385" s="12" t="s">
        <v>7</v>
      </c>
      <c r="E385" s="13">
        <v>5.0</v>
      </c>
      <c r="F385" s="5">
        <f>IFERROR(__xludf.DUMMYFUNCTION("""COMPUTED_VALUE"""),2.01486080000177)</f>
        <v>2.0148608</v>
      </c>
    </row>
    <row r="386">
      <c r="A386" s="5" t="str">
        <f t="shared" si="3"/>
        <v>P3</v>
      </c>
      <c r="B386" s="7">
        <v>74.0</v>
      </c>
      <c r="C386" s="11" t="s">
        <v>391</v>
      </c>
      <c r="D386" s="12" t="s">
        <v>7</v>
      </c>
      <c r="E386" s="13">
        <v>5.0</v>
      </c>
      <c r="F386" s="5">
        <f>IFERROR(__xludf.DUMMYFUNCTION("""COMPUTED_VALUE"""),1.71471760001441)</f>
        <v>1.7147176</v>
      </c>
    </row>
    <row r="387" hidden="1">
      <c r="B387" s="7"/>
      <c r="C387" s="11"/>
      <c r="D387" s="12"/>
      <c r="E387" s="13"/>
      <c r="F387" s="5"/>
    </row>
    <row r="388" hidden="1">
      <c r="B388" s="7"/>
      <c r="C388" s="11"/>
      <c r="D388" s="12"/>
      <c r="E388" s="13"/>
      <c r="F388" s="5"/>
    </row>
    <row r="389">
      <c r="A389" s="5" t="str">
        <f t="shared" ref="A389:A484" si="4">"P3"</f>
        <v>P3</v>
      </c>
      <c r="B389" s="7">
        <v>77.0</v>
      </c>
      <c r="C389" s="11" t="s">
        <v>392</v>
      </c>
      <c r="D389" s="12" t="s">
        <v>7</v>
      </c>
      <c r="E389" s="13">
        <v>5.0</v>
      </c>
      <c r="F389" s="5">
        <f>IFERROR(__xludf.DUMMYFUNCTION("""COMPUTED_VALUE"""),3.02274729999771)</f>
        <v>3.0227473</v>
      </c>
    </row>
    <row r="390">
      <c r="A390" s="5" t="str">
        <f t="shared" si="4"/>
        <v>P3</v>
      </c>
      <c r="B390" s="7">
        <v>79.0</v>
      </c>
      <c r="C390" s="11" t="s">
        <v>393</v>
      </c>
      <c r="D390" s="12" t="s">
        <v>7</v>
      </c>
      <c r="E390" s="13">
        <v>5.0</v>
      </c>
      <c r="F390" s="5">
        <f>IFERROR(__xludf.DUMMYFUNCTION("""COMPUTED_VALUE"""),2.06318089998967)</f>
        <v>2.0631809</v>
      </c>
    </row>
    <row r="391">
      <c r="A391" s="5" t="str">
        <f t="shared" si="4"/>
        <v>P3</v>
      </c>
      <c r="B391" s="7">
        <v>80.0</v>
      </c>
      <c r="C391" s="11" t="s">
        <v>394</v>
      </c>
      <c r="D391" s="12" t="s">
        <v>7</v>
      </c>
      <c r="E391" s="13">
        <v>5.0</v>
      </c>
      <c r="F391" s="5">
        <f>IFERROR(__xludf.DUMMYFUNCTION("""COMPUTED_VALUE"""),2.11492600000929)</f>
        <v>2.114926</v>
      </c>
    </row>
    <row r="392">
      <c r="A392" s="5" t="str">
        <f t="shared" si="4"/>
        <v>P3</v>
      </c>
      <c r="B392" s="7">
        <v>81.0</v>
      </c>
      <c r="C392" s="11" t="s">
        <v>395</v>
      </c>
      <c r="D392" s="12" t="s">
        <v>7</v>
      </c>
      <c r="E392" s="13">
        <v>10.0</v>
      </c>
      <c r="F392" s="5">
        <f>IFERROR(__xludf.DUMMYFUNCTION("""COMPUTED_VALUE"""),1.78572609998809)</f>
        <v>1.7857261</v>
      </c>
    </row>
    <row r="393">
      <c r="A393" s="5" t="str">
        <f t="shared" si="4"/>
        <v>P3</v>
      </c>
      <c r="B393" s="7">
        <v>82.0</v>
      </c>
      <c r="C393" s="11" t="s">
        <v>396</v>
      </c>
      <c r="D393" s="12" t="s">
        <v>7</v>
      </c>
      <c r="E393" s="13">
        <v>5.0</v>
      </c>
      <c r="F393" s="5">
        <f>IFERROR(__xludf.DUMMYFUNCTION("""COMPUTED_VALUE"""),1.73064650000014)</f>
        <v>1.7306465</v>
      </c>
    </row>
    <row r="394">
      <c r="A394" s="5" t="str">
        <f t="shared" si="4"/>
        <v>P3</v>
      </c>
      <c r="B394" s="7">
        <v>83.0</v>
      </c>
      <c r="C394" s="11" t="s">
        <v>397</v>
      </c>
      <c r="D394" s="12" t="s">
        <v>7</v>
      </c>
      <c r="E394" s="13">
        <v>5.0</v>
      </c>
      <c r="F394" s="5">
        <f>IFERROR(__xludf.DUMMYFUNCTION("""COMPUTED_VALUE"""),1.26656619999266)</f>
        <v>1.2665662</v>
      </c>
    </row>
    <row r="395">
      <c r="A395" s="5" t="str">
        <f t="shared" si="4"/>
        <v>P3</v>
      </c>
      <c r="B395" s="7">
        <v>84.0</v>
      </c>
      <c r="C395" s="11" t="s">
        <v>398</v>
      </c>
      <c r="D395" s="12" t="s">
        <v>7</v>
      </c>
      <c r="E395" s="13">
        <v>5.0</v>
      </c>
      <c r="F395" s="5">
        <f>IFERROR(__xludf.DUMMYFUNCTION("""COMPUTED_VALUE"""),1.56601619999855)</f>
        <v>1.5660162</v>
      </c>
    </row>
    <row r="396">
      <c r="A396" s="5" t="str">
        <f t="shared" si="4"/>
        <v>P3</v>
      </c>
      <c r="B396" s="7">
        <v>85.0</v>
      </c>
      <c r="C396" s="11" t="s">
        <v>399</v>
      </c>
      <c r="D396" s="12" t="s">
        <v>7</v>
      </c>
      <c r="E396" s="13">
        <v>5.0</v>
      </c>
      <c r="F396" s="5">
        <f>IFERROR(__xludf.DUMMYFUNCTION("""COMPUTED_VALUE"""),1.43337519999477)</f>
        <v>1.4333752</v>
      </c>
    </row>
    <row r="397">
      <c r="A397" s="5" t="str">
        <f t="shared" si="4"/>
        <v>P3</v>
      </c>
      <c r="B397" s="7">
        <v>86.0</v>
      </c>
      <c r="C397" s="11" t="s">
        <v>400</v>
      </c>
      <c r="D397" s="12" t="s">
        <v>7</v>
      </c>
      <c r="E397" s="13">
        <v>5.0</v>
      </c>
      <c r="F397" s="5">
        <f>IFERROR(__xludf.DUMMYFUNCTION("""COMPUTED_VALUE"""),1.64606739999726)</f>
        <v>1.6460674</v>
      </c>
    </row>
    <row r="398">
      <c r="A398" s="5" t="str">
        <f t="shared" si="4"/>
        <v>P3</v>
      </c>
      <c r="B398" s="7">
        <v>87.0</v>
      </c>
      <c r="C398" s="11" t="s">
        <v>401</v>
      </c>
      <c r="D398" s="12" t="s">
        <v>7</v>
      </c>
      <c r="E398" s="13">
        <v>5.0</v>
      </c>
      <c r="F398" s="5">
        <f>IFERROR(__xludf.DUMMYFUNCTION("""COMPUTED_VALUE"""),1.44003359999624)</f>
        <v>1.4400336</v>
      </c>
    </row>
    <row r="399">
      <c r="A399" s="5" t="str">
        <f t="shared" si="4"/>
        <v>P3</v>
      </c>
      <c r="B399" s="7">
        <v>89.0</v>
      </c>
      <c r="C399" s="11" t="s">
        <v>402</v>
      </c>
      <c r="D399" s="12" t="s">
        <v>7</v>
      </c>
      <c r="E399" s="13">
        <v>5.0</v>
      </c>
      <c r="F399" s="5">
        <f>IFERROR(__xludf.DUMMYFUNCTION("""COMPUTED_VALUE"""),1.69715690000157)</f>
        <v>1.6971569</v>
      </c>
    </row>
    <row r="400">
      <c r="A400" s="5" t="str">
        <f t="shared" si="4"/>
        <v>P3</v>
      </c>
      <c r="B400" s="7">
        <v>92.0</v>
      </c>
      <c r="C400" s="11" t="s">
        <v>403</v>
      </c>
      <c r="D400" s="12" t="s">
        <v>7</v>
      </c>
      <c r="E400" s="13">
        <v>10.0</v>
      </c>
      <c r="F400" s="5">
        <f>IFERROR(__xludf.DUMMYFUNCTION("""COMPUTED_VALUE"""),2.17666320000716)</f>
        <v>2.1766632</v>
      </c>
    </row>
    <row r="401">
      <c r="A401" s="5" t="str">
        <f t="shared" si="4"/>
        <v>P3</v>
      </c>
      <c r="B401" s="7">
        <v>94.0</v>
      </c>
      <c r="C401" s="11" t="s">
        <v>404</v>
      </c>
      <c r="D401" s="12" t="s">
        <v>7</v>
      </c>
      <c r="E401" s="13">
        <v>5.0</v>
      </c>
      <c r="F401" s="5">
        <f>IFERROR(__xludf.DUMMYFUNCTION("""COMPUTED_VALUE"""),1.29605699999956)</f>
        <v>1.296057</v>
      </c>
    </row>
    <row r="402">
      <c r="A402" s="5" t="str">
        <f t="shared" si="4"/>
        <v>P3</v>
      </c>
      <c r="B402" s="7">
        <v>95.0</v>
      </c>
      <c r="C402" s="11" t="s">
        <v>405</v>
      </c>
      <c r="D402" s="12" t="s">
        <v>7</v>
      </c>
      <c r="E402" s="13">
        <v>10.0</v>
      </c>
      <c r="F402" s="5">
        <f>IFERROR(__xludf.DUMMYFUNCTION("""COMPUTED_VALUE"""),2.33093470000312)</f>
        <v>2.3309347</v>
      </c>
    </row>
    <row r="403">
      <c r="A403" s="5" t="str">
        <f t="shared" si="4"/>
        <v>P3</v>
      </c>
      <c r="B403" s="7">
        <v>96.0</v>
      </c>
      <c r="C403" s="11" t="s">
        <v>406</v>
      </c>
      <c r="D403" s="12" t="s">
        <v>7</v>
      </c>
      <c r="E403" s="13">
        <v>5.0</v>
      </c>
      <c r="F403" s="5">
        <f>IFERROR(__xludf.DUMMYFUNCTION("""COMPUTED_VALUE"""),1.74936180000077)</f>
        <v>1.7493618</v>
      </c>
    </row>
    <row r="404">
      <c r="A404" s="5" t="str">
        <f t="shared" si="4"/>
        <v>P3</v>
      </c>
      <c r="B404" s="7">
        <v>98.0</v>
      </c>
      <c r="C404" s="11" t="s">
        <v>407</v>
      </c>
      <c r="D404" s="12" t="s">
        <v>7</v>
      </c>
      <c r="E404" s="13">
        <v>10.0</v>
      </c>
      <c r="F404" s="5">
        <f>IFERROR(__xludf.DUMMYFUNCTION("""COMPUTED_VALUE"""),1.31606560001091)</f>
        <v>1.3160656</v>
      </c>
    </row>
    <row r="405">
      <c r="A405" s="5" t="str">
        <f t="shared" si="4"/>
        <v>P3</v>
      </c>
      <c r="B405" s="7">
        <v>99.0</v>
      </c>
      <c r="C405" s="11" t="s">
        <v>408</v>
      </c>
      <c r="D405" s="12" t="s">
        <v>7</v>
      </c>
      <c r="E405" s="13">
        <v>10.0</v>
      </c>
      <c r="F405" s="5">
        <f>IFERROR(__xludf.DUMMYFUNCTION("""COMPUTED_VALUE"""),1.43359450000571)</f>
        <v>1.4335945</v>
      </c>
    </row>
    <row r="406">
      <c r="A406" s="5" t="str">
        <f t="shared" si="4"/>
        <v>P3</v>
      </c>
      <c r="B406" s="7">
        <v>101.0</v>
      </c>
      <c r="C406" s="11" t="s">
        <v>409</v>
      </c>
      <c r="D406" s="12" t="s">
        <v>7</v>
      </c>
      <c r="E406" s="13">
        <v>10.0</v>
      </c>
      <c r="F406" s="5">
        <f>IFERROR(__xludf.DUMMYFUNCTION("""COMPUTED_VALUE"""),2.52566829998977)</f>
        <v>2.5256683</v>
      </c>
    </row>
    <row r="407">
      <c r="A407" s="5" t="str">
        <f t="shared" si="4"/>
        <v>P3</v>
      </c>
      <c r="B407" s="7">
        <v>103.0</v>
      </c>
      <c r="C407" s="11" t="s">
        <v>410</v>
      </c>
      <c r="D407" s="12" t="s">
        <v>7</v>
      </c>
      <c r="E407" s="13">
        <v>10.0</v>
      </c>
      <c r="F407" s="5">
        <f>IFERROR(__xludf.DUMMYFUNCTION("""COMPUTED_VALUE"""),1.8165205999976)</f>
        <v>1.8165206</v>
      </c>
    </row>
    <row r="408">
      <c r="A408" s="5" t="str">
        <f t="shared" si="4"/>
        <v>P3</v>
      </c>
      <c r="B408" s="7">
        <v>104.0</v>
      </c>
      <c r="C408" s="11" t="s">
        <v>411</v>
      </c>
      <c r="D408" s="12" t="s">
        <v>7</v>
      </c>
      <c r="E408" s="13">
        <v>5.0</v>
      </c>
      <c r="F408" s="5">
        <f>IFERROR(__xludf.DUMMYFUNCTION("""COMPUTED_VALUE"""),1.16626889999315)</f>
        <v>1.1662689</v>
      </c>
    </row>
    <row r="409">
      <c r="A409" s="5" t="str">
        <f t="shared" si="4"/>
        <v>P3</v>
      </c>
      <c r="B409" s="7">
        <v>105.0</v>
      </c>
      <c r="C409" s="11" t="s">
        <v>412</v>
      </c>
      <c r="D409" s="12" t="s">
        <v>7</v>
      </c>
      <c r="E409" s="13">
        <v>5.0</v>
      </c>
      <c r="F409" s="5">
        <f>IFERROR(__xludf.DUMMYFUNCTION("""COMPUTED_VALUE"""),1.54751620000752)</f>
        <v>1.5475162</v>
      </c>
    </row>
    <row r="410">
      <c r="A410" s="5" t="str">
        <f t="shared" si="4"/>
        <v>P3</v>
      </c>
      <c r="B410" s="7">
        <v>106.0</v>
      </c>
      <c r="C410" s="11" t="s">
        <v>413</v>
      </c>
      <c r="D410" s="12" t="s">
        <v>7</v>
      </c>
      <c r="E410" s="13">
        <v>5.0</v>
      </c>
      <c r="F410" s="5">
        <f>IFERROR(__xludf.DUMMYFUNCTION("""COMPUTED_VALUE"""),2.24514280000585)</f>
        <v>2.2451428</v>
      </c>
    </row>
    <row r="411">
      <c r="A411" s="5" t="str">
        <f t="shared" si="4"/>
        <v>P3</v>
      </c>
      <c r="B411" s="7">
        <v>107.0</v>
      </c>
      <c r="C411" s="11" t="s">
        <v>414</v>
      </c>
      <c r="D411" s="12" t="s">
        <v>7</v>
      </c>
      <c r="E411" s="13">
        <v>5.0</v>
      </c>
      <c r="F411" s="5">
        <f>IFERROR(__xludf.DUMMYFUNCTION("""COMPUTED_VALUE"""),1.56338569999206)</f>
        <v>1.5633857</v>
      </c>
    </row>
    <row r="412">
      <c r="A412" s="5" t="str">
        <f t="shared" si="4"/>
        <v>P3</v>
      </c>
      <c r="B412" s="7">
        <v>108.0</v>
      </c>
      <c r="C412" s="11" t="s">
        <v>415</v>
      </c>
      <c r="D412" s="12" t="s">
        <v>7</v>
      </c>
      <c r="E412" s="13">
        <v>10.0</v>
      </c>
      <c r="F412" s="5">
        <f>IFERROR(__xludf.DUMMYFUNCTION("""COMPUTED_VALUE"""),1.29881589999422)</f>
        <v>1.2988159</v>
      </c>
    </row>
    <row r="413">
      <c r="A413" s="5" t="str">
        <f t="shared" si="4"/>
        <v>P3</v>
      </c>
      <c r="B413" s="7">
        <v>109.0</v>
      </c>
      <c r="C413" s="11" t="s">
        <v>416</v>
      </c>
      <c r="D413" s="12" t="s">
        <v>7</v>
      </c>
      <c r="E413" s="13">
        <v>5.0</v>
      </c>
      <c r="F413" s="5">
        <f>IFERROR(__xludf.DUMMYFUNCTION("""COMPUTED_VALUE"""),1.49419230000057)</f>
        <v>1.4941923</v>
      </c>
    </row>
    <row r="414">
      <c r="A414" s="5" t="str">
        <f t="shared" si="4"/>
        <v>P3</v>
      </c>
      <c r="B414" s="7">
        <v>110.0</v>
      </c>
      <c r="C414" s="11" t="s">
        <v>417</v>
      </c>
      <c r="D414" s="12" t="s">
        <v>7</v>
      </c>
      <c r="E414" s="13">
        <v>10.0</v>
      </c>
      <c r="F414" s="5">
        <f>IFERROR(__xludf.DUMMYFUNCTION("""COMPUTED_VALUE"""),1.30175409998628)</f>
        <v>1.3017541</v>
      </c>
    </row>
    <row r="415">
      <c r="A415" s="5" t="str">
        <f t="shared" si="4"/>
        <v>P3</v>
      </c>
      <c r="B415" s="7">
        <v>112.0</v>
      </c>
      <c r="C415" s="11" t="s">
        <v>418</v>
      </c>
      <c r="D415" s="12" t="s">
        <v>7</v>
      </c>
      <c r="E415" s="13">
        <v>10.0</v>
      </c>
      <c r="F415" s="5">
        <f>IFERROR(__xludf.DUMMYFUNCTION("""COMPUTED_VALUE"""),2.5030165999924)</f>
        <v>2.5030166</v>
      </c>
    </row>
    <row r="416">
      <c r="A416" s="5" t="str">
        <f t="shared" si="4"/>
        <v>P3</v>
      </c>
      <c r="B416" s="7">
        <v>113.0</v>
      </c>
      <c r="C416" s="11" t="s">
        <v>419</v>
      </c>
      <c r="D416" s="12" t="s">
        <v>7</v>
      </c>
      <c r="E416" s="13">
        <v>10.0</v>
      </c>
      <c r="F416" s="5">
        <f>IFERROR(__xludf.DUMMYFUNCTION("""COMPUTED_VALUE"""),1.38472859999455)</f>
        <v>1.3847286</v>
      </c>
    </row>
    <row r="417">
      <c r="A417" s="5" t="str">
        <f t="shared" si="4"/>
        <v>P3</v>
      </c>
      <c r="B417" s="7">
        <v>114.0</v>
      </c>
      <c r="C417" s="11" t="s">
        <v>420</v>
      </c>
      <c r="D417" s="12" t="s">
        <v>7</v>
      </c>
      <c r="E417" s="13">
        <v>10.0</v>
      </c>
      <c r="F417" s="5">
        <f>IFERROR(__xludf.DUMMYFUNCTION("""COMPUTED_VALUE"""),3.04051669999898)</f>
        <v>3.0405167</v>
      </c>
    </row>
    <row r="418">
      <c r="A418" s="5" t="str">
        <f t="shared" si="4"/>
        <v>P3</v>
      </c>
      <c r="B418" s="7">
        <v>116.0</v>
      </c>
      <c r="C418" s="11" t="s">
        <v>421</v>
      </c>
      <c r="D418" s="12" t="s">
        <v>7</v>
      </c>
      <c r="E418" s="13">
        <v>10.0</v>
      </c>
      <c r="F418" s="5">
        <f>IFERROR(__xludf.DUMMYFUNCTION("""COMPUTED_VALUE"""),1.71867740000016)</f>
        <v>1.7186774</v>
      </c>
    </row>
    <row r="419">
      <c r="A419" s="5" t="str">
        <f t="shared" si="4"/>
        <v>P3</v>
      </c>
      <c r="B419" s="7">
        <v>117.0</v>
      </c>
      <c r="C419" s="11" t="s">
        <v>422</v>
      </c>
      <c r="D419" s="12" t="s">
        <v>7</v>
      </c>
      <c r="E419" s="13">
        <v>5.0</v>
      </c>
      <c r="F419" s="5">
        <f>IFERROR(__xludf.DUMMYFUNCTION("""COMPUTED_VALUE"""),1.51490249999915)</f>
        <v>1.5149025</v>
      </c>
    </row>
    <row r="420">
      <c r="A420" s="5" t="str">
        <f t="shared" si="4"/>
        <v>P3</v>
      </c>
      <c r="B420" s="7">
        <v>118.0</v>
      </c>
      <c r="C420" s="11" t="s">
        <v>423</v>
      </c>
      <c r="D420" s="12" t="s">
        <v>7</v>
      </c>
      <c r="E420" s="13">
        <v>5.0</v>
      </c>
      <c r="F420" s="5">
        <f>IFERROR(__xludf.DUMMYFUNCTION("""COMPUTED_VALUE"""),1.88791499999933)</f>
        <v>1.887915</v>
      </c>
    </row>
    <row r="421">
      <c r="A421" s="5" t="str">
        <f t="shared" si="4"/>
        <v>P3</v>
      </c>
      <c r="B421" s="7">
        <v>119.0</v>
      </c>
      <c r="C421" s="11" t="s">
        <v>424</v>
      </c>
      <c r="D421" s="12" t="s">
        <v>7</v>
      </c>
      <c r="E421" s="13">
        <v>10.0</v>
      </c>
      <c r="F421" s="5">
        <f>IFERROR(__xludf.DUMMYFUNCTION("""COMPUTED_VALUE"""),1.64835759998823)</f>
        <v>1.6483576</v>
      </c>
    </row>
    <row r="422">
      <c r="A422" s="5" t="str">
        <f t="shared" si="4"/>
        <v>P3</v>
      </c>
      <c r="B422" s="7">
        <v>120.0</v>
      </c>
      <c r="C422" s="11" t="s">
        <v>425</v>
      </c>
      <c r="D422" s="12" t="s">
        <v>7</v>
      </c>
      <c r="E422" s="13">
        <v>10.0</v>
      </c>
      <c r="F422" s="5">
        <f>IFERROR(__xludf.DUMMYFUNCTION("""COMPUTED_VALUE"""),2.4281209000037)</f>
        <v>2.4281209</v>
      </c>
    </row>
    <row r="423">
      <c r="A423" s="5" t="str">
        <f t="shared" si="4"/>
        <v>P3</v>
      </c>
      <c r="B423" s="7">
        <v>121.0</v>
      </c>
      <c r="C423" s="11" t="s">
        <v>426</v>
      </c>
      <c r="D423" s="12" t="s">
        <v>7</v>
      </c>
      <c r="E423" s="13">
        <v>10.0</v>
      </c>
      <c r="F423" s="5">
        <f>IFERROR(__xludf.DUMMYFUNCTION("""COMPUTED_VALUE"""),2.11791870000888)</f>
        <v>2.1179187</v>
      </c>
    </row>
    <row r="424">
      <c r="A424" s="5" t="str">
        <f t="shared" si="4"/>
        <v>P3</v>
      </c>
      <c r="B424" s="7">
        <v>123.0</v>
      </c>
      <c r="C424" s="11" t="s">
        <v>427</v>
      </c>
      <c r="D424" s="12" t="s">
        <v>7</v>
      </c>
      <c r="E424" s="13">
        <v>10.0</v>
      </c>
      <c r="F424" s="5">
        <f>IFERROR(__xludf.DUMMYFUNCTION("""COMPUTED_VALUE"""),1.73381560000416)</f>
        <v>1.7338156</v>
      </c>
    </row>
    <row r="425">
      <c r="A425" s="5" t="str">
        <f t="shared" si="4"/>
        <v>P3</v>
      </c>
      <c r="B425" s="7">
        <v>125.0</v>
      </c>
      <c r="C425" s="11" t="s">
        <v>428</v>
      </c>
      <c r="D425" s="12" t="s">
        <v>7</v>
      </c>
      <c r="E425" s="13">
        <v>5.0</v>
      </c>
      <c r="F425" s="5">
        <f>IFERROR(__xludf.DUMMYFUNCTION("""COMPUTED_VALUE"""),2.03829219999897)</f>
        <v>2.0382922</v>
      </c>
    </row>
    <row r="426">
      <c r="A426" s="5" t="str">
        <f t="shared" si="4"/>
        <v>P3</v>
      </c>
      <c r="B426" s="7">
        <v>126.0</v>
      </c>
      <c r="C426" s="11" t="s">
        <v>429</v>
      </c>
      <c r="D426" s="12" t="s">
        <v>7</v>
      </c>
      <c r="E426" s="13">
        <v>5.0</v>
      </c>
      <c r="F426" s="5">
        <f>IFERROR(__xludf.DUMMYFUNCTION("""COMPUTED_VALUE"""),1.15679379999346)</f>
        <v>1.1567938</v>
      </c>
    </row>
    <row r="427">
      <c r="A427" s="5" t="str">
        <f t="shared" si="4"/>
        <v>P3</v>
      </c>
      <c r="B427" s="7">
        <v>127.0</v>
      </c>
      <c r="C427" s="11" t="s">
        <v>430</v>
      </c>
      <c r="D427" s="12" t="s">
        <v>7</v>
      </c>
      <c r="E427" s="13">
        <v>10.0</v>
      </c>
      <c r="F427" s="5">
        <f>IFERROR(__xludf.DUMMYFUNCTION("""COMPUTED_VALUE"""),1.56583439999667)</f>
        <v>1.5658344</v>
      </c>
    </row>
    <row r="428">
      <c r="A428" s="5" t="str">
        <f t="shared" si="4"/>
        <v>P3</v>
      </c>
      <c r="B428" s="7">
        <v>128.0</v>
      </c>
      <c r="C428" s="11" t="s">
        <v>431</v>
      </c>
      <c r="D428" s="12" t="s">
        <v>7</v>
      </c>
      <c r="E428" s="13">
        <v>10.0</v>
      </c>
      <c r="F428" s="5">
        <f>IFERROR(__xludf.DUMMYFUNCTION("""COMPUTED_VALUE"""),2.18495309998979)</f>
        <v>2.1849531</v>
      </c>
    </row>
    <row r="429">
      <c r="A429" s="5" t="str">
        <f t="shared" si="4"/>
        <v>P3</v>
      </c>
      <c r="B429" s="7">
        <v>129.0</v>
      </c>
      <c r="C429" s="11" t="s">
        <v>432</v>
      </c>
      <c r="D429" s="12" t="s">
        <v>7</v>
      </c>
      <c r="E429" s="13">
        <v>5.0</v>
      </c>
      <c r="F429" s="5">
        <f>IFERROR(__xludf.DUMMYFUNCTION("""COMPUTED_VALUE"""),2.45982899999944)</f>
        <v>2.459829</v>
      </c>
    </row>
    <row r="430">
      <c r="A430" s="5" t="str">
        <f t="shared" si="4"/>
        <v>P3</v>
      </c>
      <c r="B430" s="7">
        <v>130.0</v>
      </c>
      <c r="C430" s="11" t="s">
        <v>433</v>
      </c>
      <c r="D430" s="12" t="s">
        <v>7</v>
      </c>
      <c r="E430" s="13">
        <v>10.0</v>
      </c>
      <c r="F430" s="5">
        <f>IFERROR(__xludf.DUMMYFUNCTION("""COMPUTED_VALUE"""),2.11644489999162)</f>
        <v>2.1164449</v>
      </c>
    </row>
    <row r="431">
      <c r="A431" s="5" t="str">
        <f t="shared" si="4"/>
        <v>P3</v>
      </c>
      <c r="B431" s="7">
        <v>131.0</v>
      </c>
      <c r="C431" s="11" t="s">
        <v>434</v>
      </c>
      <c r="D431" s="12" t="s">
        <v>7</v>
      </c>
      <c r="E431" s="13">
        <v>10.0</v>
      </c>
      <c r="F431" s="5">
        <f>IFERROR(__xludf.DUMMYFUNCTION("""COMPUTED_VALUE"""),1.7234121000074)</f>
        <v>1.7234121</v>
      </c>
    </row>
    <row r="432">
      <c r="A432" s="5" t="str">
        <f t="shared" si="4"/>
        <v>P3</v>
      </c>
      <c r="B432" s="7">
        <v>132.0</v>
      </c>
      <c r="C432" s="11" t="s">
        <v>435</v>
      </c>
      <c r="D432" s="12" t="s">
        <v>7</v>
      </c>
      <c r="E432" s="13">
        <v>5.0</v>
      </c>
      <c r="F432" s="5">
        <f>IFERROR(__xludf.DUMMYFUNCTION("""COMPUTED_VALUE"""),1.64910870000312)</f>
        <v>1.6491087</v>
      </c>
    </row>
    <row r="433">
      <c r="A433" s="5" t="str">
        <f t="shared" si="4"/>
        <v>P3</v>
      </c>
      <c r="B433" s="7">
        <v>133.0</v>
      </c>
      <c r="C433" s="11" t="s">
        <v>436</v>
      </c>
      <c r="D433" s="12" t="s">
        <v>7</v>
      </c>
      <c r="E433" s="13">
        <v>5.0</v>
      </c>
      <c r="F433" s="5">
        <f>IFERROR(__xludf.DUMMYFUNCTION("""COMPUTED_VALUE"""),2.39728140000079)</f>
        <v>2.3972814</v>
      </c>
    </row>
    <row r="434">
      <c r="A434" s="5" t="str">
        <f t="shared" si="4"/>
        <v>P3</v>
      </c>
      <c r="B434" s="7">
        <v>135.0</v>
      </c>
      <c r="C434" s="11" t="s">
        <v>437</v>
      </c>
      <c r="D434" s="12" t="s">
        <v>7</v>
      </c>
      <c r="E434" s="13">
        <v>5.0</v>
      </c>
      <c r="F434" s="5">
        <f>IFERROR(__xludf.DUMMYFUNCTION("""COMPUTED_VALUE"""),1.24012639999273)</f>
        <v>1.2401264</v>
      </c>
    </row>
    <row r="435">
      <c r="A435" s="5" t="str">
        <f t="shared" si="4"/>
        <v>P3</v>
      </c>
      <c r="B435" s="7">
        <v>136.0</v>
      </c>
      <c r="C435" s="11" t="s">
        <v>438</v>
      </c>
      <c r="D435" s="12" t="s">
        <v>7</v>
      </c>
      <c r="E435" s="13">
        <v>5.0</v>
      </c>
      <c r="F435" s="5">
        <f>IFERROR(__xludf.DUMMYFUNCTION("""COMPUTED_VALUE"""),2.03859100000408)</f>
        <v>2.038591</v>
      </c>
    </row>
    <row r="436">
      <c r="A436" s="5" t="str">
        <f t="shared" si="4"/>
        <v>P3</v>
      </c>
      <c r="B436" s="7">
        <v>137.0</v>
      </c>
      <c r="C436" s="11" t="s">
        <v>439</v>
      </c>
      <c r="D436" s="12" t="s">
        <v>7</v>
      </c>
      <c r="E436" s="13">
        <v>10.0</v>
      </c>
      <c r="F436" s="5">
        <f>IFERROR(__xludf.DUMMYFUNCTION("""COMPUTED_VALUE"""),1.41430140000011)</f>
        <v>1.4143014</v>
      </c>
    </row>
    <row r="437">
      <c r="A437" s="5" t="str">
        <f t="shared" si="4"/>
        <v>P3</v>
      </c>
      <c r="B437" s="7">
        <v>138.0</v>
      </c>
      <c r="C437" s="11" t="s">
        <v>440</v>
      </c>
      <c r="D437" s="12" t="s">
        <v>7</v>
      </c>
      <c r="E437" s="13">
        <v>10.0</v>
      </c>
      <c r="F437" s="5">
        <f>IFERROR(__xludf.DUMMYFUNCTION("""COMPUTED_VALUE"""),2.67150079998828)</f>
        <v>2.6715008</v>
      </c>
    </row>
    <row r="438">
      <c r="A438" s="5" t="str">
        <f t="shared" si="4"/>
        <v>P3</v>
      </c>
      <c r="B438" s="7">
        <v>140.0</v>
      </c>
      <c r="C438" s="11" t="s">
        <v>441</v>
      </c>
      <c r="D438" s="12" t="s">
        <v>7</v>
      </c>
      <c r="E438" s="13">
        <v>10.0</v>
      </c>
      <c r="F438" s="5">
        <f>IFERROR(__xludf.DUMMYFUNCTION("""COMPUTED_VALUE"""),1.36670650000451)</f>
        <v>1.3667065</v>
      </c>
    </row>
    <row r="439">
      <c r="A439" s="5" t="str">
        <f t="shared" si="4"/>
        <v>P3</v>
      </c>
      <c r="B439" s="7">
        <v>141.0</v>
      </c>
      <c r="C439" s="11" t="s">
        <v>442</v>
      </c>
      <c r="D439" s="12" t="s">
        <v>7</v>
      </c>
      <c r="E439" s="13">
        <v>10.0</v>
      </c>
      <c r="F439" s="5">
        <f>IFERROR(__xludf.DUMMYFUNCTION("""COMPUTED_VALUE"""),1.63499250001041)</f>
        <v>1.6349925</v>
      </c>
    </row>
    <row r="440">
      <c r="A440" s="5" t="str">
        <f t="shared" si="4"/>
        <v>P3</v>
      </c>
      <c r="B440" s="7">
        <v>142.0</v>
      </c>
      <c r="C440" s="11" t="s">
        <v>443</v>
      </c>
      <c r="D440" s="12" t="s">
        <v>7</v>
      </c>
      <c r="E440" s="13">
        <v>10.0</v>
      </c>
      <c r="F440" s="5">
        <f>IFERROR(__xludf.DUMMYFUNCTION("""COMPUTED_VALUE"""),2.60289809999812)</f>
        <v>2.6028981</v>
      </c>
    </row>
    <row r="441">
      <c r="A441" s="5" t="str">
        <f t="shared" si="4"/>
        <v>P3</v>
      </c>
      <c r="B441" s="7">
        <v>143.0</v>
      </c>
      <c r="C441" s="11" t="s">
        <v>444</v>
      </c>
      <c r="D441" s="12" t="s">
        <v>7</v>
      </c>
      <c r="E441" s="13">
        <v>5.0</v>
      </c>
      <c r="F441" s="5">
        <f>IFERROR(__xludf.DUMMYFUNCTION("""COMPUTED_VALUE"""),1.86260500000207)</f>
        <v>1.862605</v>
      </c>
    </row>
    <row r="442">
      <c r="A442" s="5" t="str">
        <f t="shared" si="4"/>
        <v>P3</v>
      </c>
      <c r="B442" s="7">
        <v>144.0</v>
      </c>
      <c r="C442" s="11" t="s">
        <v>445</v>
      </c>
      <c r="D442" s="12" t="s">
        <v>7</v>
      </c>
      <c r="E442" s="13">
        <v>10.0</v>
      </c>
      <c r="F442" s="5">
        <f>IFERROR(__xludf.DUMMYFUNCTION("""COMPUTED_VALUE"""),2.8538350000017)</f>
        <v>2.853835</v>
      </c>
    </row>
    <row r="443">
      <c r="A443" s="5" t="str">
        <f t="shared" si="4"/>
        <v>P3</v>
      </c>
      <c r="B443" s="7">
        <v>146.0</v>
      </c>
      <c r="C443" s="11" t="s">
        <v>446</v>
      </c>
      <c r="D443" s="12" t="s">
        <v>7</v>
      </c>
      <c r="E443" s="13">
        <v>10.0</v>
      </c>
      <c r="F443" s="5">
        <f>IFERROR(__xludf.DUMMYFUNCTION("""COMPUTED_VALUE"""),1.02411539999593)</f>
        <v>1.0241154</v>
      </c>
    </row>
    <row r="444">
      <c r="A444" s="5" t="str">
        <f t="shared" si="4"/>
        <v>P3</v>
      </c>
      <c r="B444" s="7">
        <v>147.0</v>
      </c>
      <c r="C444" s="11" t="s">
        <v>447</v>
      </c>
      <c r="D444" s="12" t="s">
        <v>7</v>
      </c>
      <c r="E444" s="13">
        <v>10.0</v>
      </c>
      <c r="F444" s="5">
        <f>IFERROR(__xludf.DUMMYFUNCTION("""COMPUTED_VALUE"""),1.68938409999827)</f>
        <v>1.6893841</v>
      </c>
    </row>
    <row r="445">
      <c r="A445" s="5" t="str">
        <f t="shared" si="4"/>
        <v>P3</v>
      </c>
      <c r="B445" s="7">
        <v>148.0</v>
      </c>
      <c r="C445" s="11" t="s">
        <v>448</v>
      </c>
      <c r="D445" s="12" t="s">
        <v>7</v>
      </c>
      <c r="E445" s="13">
        <v>5.0</v>
      </c>
      <c r="F445" s="5">
        <f>IFERROR(__xludf.DUMMYFUNCTION("""COMPUTED_VALUE"""),1.46659799999906)</f>
        <v>1.466598</v>
      </c>
    </row>
    <row r="446">
      <c r="A446" s="5" t="str">
        <f t="shared" si="4"/>
        <v>P3</v>
      </c>
      <c r="B446" s="7">
        <v>151.0</v>
      </c>
      <c r="C446" s="11" t="s">
        <v>449</v>
      </c>
      <c r="D446" s="12" t="s">
        <v>7</v>
      </c>
      <c r="E446" s="13">
        <v>5.0</v>
      </c>
      <c r="F446" s="5">
        <f>IFERROR(__xludf.DUMMYFUNCTION("""COMPUTED_VALUE"""),1.49924630000896)</f>
        <v>1.4992463</v>
      </c>
    </row>
    <row r="447">
      <c r="A447" s="5" t="str">
        <f t="shared" si="4"/>
        <v>P3</v>
      </c>
      <c r="B447" s="7">
        <v>152.0</v>
      </c>
      <c r="C447" s="11" t="s">
        <v>450</v>
      </c>
      <c r="D447" s="12" t="s">
        <v>7</v>
      </c>
      <c r="E447" s="13">
        <v>5.0</v>
      </c>
      <c r="F447" s="5">
        <f>IFERROR(__xludf.DUMMYFUNCTION("""COMPUTED_VALUE"""),1.83447100000921)</f>
        <v>1.834471</v>
      </c>
    </row>
    <row r="448">
      <c r="A448" s="5" t="str">
        <f t="shared" si="4"/>
        <v>P3</v>
      </c>
      <c r="B448" s="7">
        <v>153.0</v>
      </c>
      <c r="C448" s="11" t="s">
        <v>451</v>
      </c>
      <c r="D448" s="12" t="s">
        <v>7</v>
      </c>
      <c r="E448" s="13">
        <v>10.0</v>
      </c>
      <c r="F448" s="5">
        <f>IFERROR(__xludf.DUMMYFUNCTION("""COMPUTED_VALUE"""),2.1979726999998)</f>
        <v>2.1979727</v>
      </c>
    </row>
    <row r="449">
      <c r="A449" s="5" t="str">
        <f t="shared" si="4"/>
        <v>P3</v>
      </c>
      <c r="B449" s="7">
        <v>154.0</v>
      </c>
      <c r="C449" s="11" t="s">
        <v>452</v>
      </c>
      <c r="D449" s="12" t="s">
        <v>7</v>
      </c>
      <c r="E449" s="13">
        <v>10.0</v>
      </c>
      <c r="F449" s="5">
        <f>IFERROR(__xludf.DUMMYFUNCTION("""COMPUTED_VALUE"""),2.25136249999923)</f>
        <v>2.2513625</v>
      </c>
    </row>
    <row r="450">
      <c r="A450" s="5" t="str">
        <f t="shared" si="4"/>
        <v>P3</v>
      </c>
      <c r="B450" s="7">
        <v>155.0</v>
      </c>
      <c r="C450" s="11" t="s">
        <v>453</v>
      </c>
      <c r="D450" s="12" t="s">
        <v>7</v>
      </c>
      <c r="E450" s="13">
        <v>5.0</v>
      </c>
      <c r="F450" s="5">
        <f>IFERROR(__xludf.DUMMYFUNCTION("""COMPUTED_VALUE"""),1.7940157999983)</f>
        <v>1.7940158</v>
      </c>
    </row>
    <row r="451">
      <c r="A451" s="5" t="str">
        <f t="shared" si="4"/>
        <v>P3</v>
      </c>
      <c r="B451" s="7">
        <v>156.0</v>
      </c>
      <c r="C451" s="11" t="s">
        <v>454</v>
      </c>
      <c r="D451" s="12" t="s">
        <v>7</v>
      </c>
      <c r="E451" s="13">
        <v>5.0</v>
      </c>
      <c r="F451" s="5">
        <f>IFERROR(__xludf.DUMMYFUNCTION("""COMPUTED_VALUE"""),1.83230560000811)</f>
        <v>1.8323056</v>
      </c>
    </row>
    <row r="452">
      <c r="A452" s="5" t="str">
        <f t="shared" si="4"/>
        <v>P3</v>
      </c>
      <c r="B452" s="7">
        <v>157.0</v>
      </c>
      <c r="C452" s="11" t="s">
        <v>455</v>
      </c>
      <c r="D452" s="12" t="s">
        <v>7</v>
      </c>
      <c r="E452" s="13">
        <v>10.0</v>
      </c>
      <c r="F452" s="5">
        <f>IFERROR(__xludf.DUMMYFUNCTION("""COMPUTED_VALUE"""),2.44799390000116)</f>
        <v>2.4479939</v>
      </c>
    </row>
    <row r="453">
      <c r="A453" s="5" t="str">
        <f t="shared" si="4"/>
        <v>P3</v>
      </c>
      <c r="B453" s="7">
        <v>158.0</v>
      </c>
      <c r="C453" s="11" t="s">
        <v>456</v>
      </c>
      <c r="D453" s="12" t="s">
        <v>7</v>
      </c>
      <c r="E453" s="13">
        <v>10.0</v>
      </c>
      <c r="F453" s="5">
        <f>IFERROR(__xludf.DUMMYFUNCTION("""COMPUTED_VALUE"""),1.48413240000081)</f>
        <v>1.4841324</v>
      </c>
    </row>
    <row r="454">
      <c r="A454" s="5" t="str">
        <f t="shared" si="4"/>
        <v>P3</v>
      </c>
      <c r="B454" s="7">
        <v>159.0</v>
      </c>
      <c r="C454" s="11" t="s">
        <v>457</v>
      </c>
      <c r="D454" s="12" t="s">
        <v>7</v>
      </c>
      <c r="E454" s="13">
        <v>10.0</v>
      </c>
      <c r="F454" s="5">
        <f>IFERROR(__xludf.DUMMYFUNCTION("""COMPUTED_VALUE"""),2.03318270000454)</f>
        <v>2.0331827</v>
      </c>
    </row>
    <row r="455">
      <c r="A455" s="5" t="str">
        <f t="shared" si="4"/>
        <v>P3</v>
      </c>
      <c r="B455" s="7">
        <v>160.0</v>
      </c>
      <c r="C455" s="11" t="s">
        <v>458</v>
      </c>
      <c r="D455" s="12" t="s">
        <v>7</v>
      </c>
      <c r="E455" s="13">
        <v>10.0</v>
      </c>
      <c r="F455" s="5">
        <f>IFERROR(__xludf.DUMMYFUNCTION("""COMPUTED_VALUE"""),2.2723987000063)</f>
        <v>2.2723987</v>
      </c>
    </row>
    <row r="456">
      <c r="A456" s="5" t="str">
        <f t="shared" si="4"/>
        <v>P3</v>
      </c>
      <c r="B456" s="7">
        <v>161.0</v>
      </c>
      <c r="C456" s="11" t="s">
        <v>459</v>
      </c>
      <c r="D456" s="12" t="s">
        <v>7</v>
      </c>
      <c r="E456" s="13">
        <v>5.0</v>
      </c>
      <c r="F456" s="5">
        <f>IFERROR(__xludf.DUMMYFUNCTION("""COMPUTED_VALUE"""),1.74770639999769)</f>
        <v>1.7477064</v>
      </c>
    </row>
    <row r="457">
      <c r="A457" s="5" t="str">
        <f t="shared" si="4"/>
        <v>P3</v>
      </c>
      <c r="B457" s="7">
        <v>162.0</v>
      </c>
      <c r="C457" s="11" t="s">
        <v>460</v>
      </c>
      <c r="D457" s="12" t="s">
        <v>7</v>
      </c>
      <c r="E457" s="13">
        <v>10.0</v>
      </c>
      <c r="F457" s="5">
        <f>IFERROR(__xludf.DUMMYFUNCTION("""COMPUTED_VALUE"""),1.45344280000426)</f>
        <v>1.4534428</v>
      </c>
    </row>
    <row r="458">
      <c r="A458" s="5" t="str">
        <f t="shared" si="4"/>
        <v>P3</v>
      </c>
      <c r="B458" s="7">
        <v>163.0</v>
      </c>
      <c r="C458" s="11" t="s">
        <v>461</v>
      </c>
      <c r="D458" s="12" t="s">
        <v>7</v>
      </c>
      <c r="E458" s="13">
        <v>5.0</v>
      </c>
      <c r="F458" s="5">
        <f>IFERROR(__xludf.DUMMYFUNCTION("""COMPUTED_VALUE"""),1.90145279999705)</f>
        <v>1.9014528</v>
      </c>
    </row>
    <row r="459">
      <c r="A459" s="5" t="str">
        <f t="shared" si="4"/>
        <v>P3</v>
      </c>
      <c r="B459" s="7">
        <v>164.0</v>
      </c>
      <c r="C459" s="11" t="s">
        <v>462</v>
      </c>
      <c r="D459" s="12" t="s">
        <v>7</v>
      </c>
      <c r="E459" s="13">
        <v>5.0</v>
      </c>
      <c r="F459" s="5">
        <f>IFERROR(__xludf.DUMMYFUNCTION("""COMPUTED_VALUE"""),1.44364969999878)</f>
        <v>1.4436497</v>
      </c>
    </row>
    <row r="460">
      <c r="A460" s="5" t="str">
        <f t="shared" si="4"/>
        <v>P3</v>
      </c>
      <c r="B460" s="7">
        <v>166.0</v>
      </c>
      <c r="C460" s="11" t="s">
        <v>463</v>
      </c>
      <c r="D460" s="12" t="s">
        <v>7</v>
      </c>
      <c r="E460" s="13">
        <v>10.0</v>
      </c>
      <c r="F460" s="5">
        <f>IFERROR(__xludf.DUMMYFUNCTION("""COMPUTED_VALUE"""),1.53413260000525)</f>
        <v>1.5341326</v>
      </c>
    </row>
    <row r="461">
      <c r="A461" s="5" t="str">
        <f t="shared" si="4"/>
        <v>P3</v>
      </c>
      <c r="B461" s="7">
        <v>167.0</v>
      </c>
      <c r="C461" s="11" t="s">
        <v>464</v>
      </c>
      <c r="D461" s="12" t="s">
        <v>7</v>
      </c>
      <c r="E461" s="13">
        <v>10.0</v>
      </c>
      <c r="F461" s="5">
        <f>IFERROR(__xludf.DUMMYFUNCTION("""COMPUTED_VALUE"""),2.11537379999936)</f>
        <v>2.1153738</v>
      </c>
    </row>
    <row r="462">
      <c r="A462" s="5" t="str">
        <f t="shared" si="4"/>
        <v>P3</v>
      </c>
      <c r="B462" s="7">
        <v>168.0</v>
      </c>
      <c r="C462" s="11" t="s">
        <v>465</v>
      </c>
      <c r="D462" s="12" t="s">
        <v>7</v>
      </c>
      <c r="E462" s="13">
        <v>10.0</v>
      </c>
      <c r="F462" s="5">
        <f>IFERROR(__xludf.DUMMYFUNCTION("""COMPUTED_VALUE"""),2.51494470000034)</f>
        <v>2.5149447</v>
      </c>
    </row>
    <row r="463">
      <c r="A463" s="5" t="str">
        <f t="shared" si="4"/>
        <v>P3</v>
      </c>
      <c r="B463" s="7">
        <v>169.0</v>
      </c>
      <c r="C463" s="11" t="s">
        <v>466</v>
      </c>
      <c r="D463" s="12" t="s">
        <v>7</v>
      </c>
      <c r="E463" s="13">
        <v>10.0</v>
      </c>
      <c r="F463" s="5">
        <f>IFERROR(__xludf.DUMMYFUNCTION("""COMPUTED_VALUE"""),2.00008399999933)</f>
        <v>2.000084</v>
      </c>
    </row>
    <row r="464">
      <c r="A464" s="5" t="str">
        <f t="shared" si="4"/>
        <v>P3</v>
      </c>
      <c r="B464" s="7">
        <v>170.0</v>
      </c>
      <c r="C464" s="11" t="s">
        <v>467</v>
      </c>
      <c r="D464" s="12" t="s">
        <v>7</v>
      </c>
      <c r="E464" s="13">
        <v>10.0</v>
      </c>
      <c r="F464" s="5">
        <f>IFERROR(__xludf.DUMMYFUNCTION("""COMPUTED_VALUE"""),1.89066780000575)</f>
        <v>1.8906678</v>
      </c>
    </row>
    <row r="465">
      <c r="A465" s="5" t="str">
        <f t="shared" si="4"/>
        <v>P3</v>
      </c>
      <c r="B465" s="7">
        <v>171.0</v>
      </c>
      <c r="C465" s="11" t="s">
        <v>468</v>
      </c>
      <c r="D465" s="12" t="s">
        <v>7</v>
      </c>
      <c r="E465" s="13">
        <v>5.0</v>
      </c>
      <c r="F465" s="5">
        <f>IFERROR(__xludf.DUMMYFUNCTION("""COMPUTED_VALUE"""),2.29916090000188)</f>
        <v>2.2991609</v>
      </c>
    </row>
    <row r="466">
      <c r="A466" s="5" t="str">
        <f t="shared" si="4"/>
        <v>P3</v>
      </c>
      <c r="B466" s="7">
        <v>174.0</v>
      </c>
      <c r="C466" s="11" t="s">
        <v>469</v>
      </c>
      <c r="D466" s="12" t="s">
        <v>7</v>
      </c>
      <c r="E466" s="13">
        <v>10.0</v>
      </c>
      <c r="F466" s="5">
        <f>IFERROR(__xludf.DUMMYFUNCTION("""COMPUTED_VALUE"""),1.41831259999889)</f>
        <v>1.4183126</v>
      </c>
    </row>
    <row r="467">
      <c r="A467" s="5" t="str">
        <f t="shared" si="4"/>
        <v>P3</v>
      </c>
      <c r="B467" s="7">
        <v>175.0</v>
      </c>
      <c r="C467" s="11" t="s">
        <v>470</v>
      </c>
      <c r="D467" s="12" t="s">
        <v>7</v>
      </c>
      <c r="E467" s="13">
        <v>5.0</v>
      </c>
      <c r="F467" s="5">
        <f>IFERROR(__xludf.DUMMYFUNCTION("""COMPUTED_VALUE"""),2.04827410000143)</f>
        <v>2.0482741</v>
      </c>
    </row>
    <row r="468">
      <c r="A468" s="5" t="str">
        <f t="shared" si="4"/>
        <v>P3</v>
      </c>
      <c r="B468" s="7">
        <v>176.0</v>
      </c>
      <c r="C468" s="11" t="s">
        <v>471</v>
      </c>
      <c r="D468" s="12" t="s">
        <v>7</v>
      </c>
      <c r="E468" s="13">
        <v>10.0</v>
      </c>
      <c r="F468" s="5">
        <f>IFERROR(__xludf.DUMMYFUNCTION("""COMPUTED_VALUE"""),1.0989333000034)</f>
        <v>1.0989333</v>
      </c>
    </row>
    <row r="469">
      <c r="A469" s="5" t="str">
        <f t="shared" si="4"/>
        <v>P3</v>
      </c>
      <c r="B469" s="7">
        <v>178.0</v>
      </c>
      <c r="C469" s="11" t="s">
        <v>472</v>
      </c>
      <c r="D469" s="12" t="s">
        <v>7</v>
      </c>
      <c r="E469" s="13">
        <v>5.0</v>
      </c>
      <c r="F469" s="5">
        <f>IFERROR(__xludf.DUMMYFUNCTION("""COMPUTED_VALUE"""),1.30099860001064)</f>
        <v>1.3009986</v>
      </c>
    </row>
    <row r="470">
      <c r="A470" s="5" t="str">
        <f t="shared" si="4"/>
        <v>P3</v>
      </c>
      <c r="B470" s="7">
        <v>179.0</v>
      </c>
      <c r="C470" s="11" t="s">
        <v>473</v>
      </c>
      <c r="D470" s="12" t="s">
        <v>7</v>
      </c>
      <c r="E470" s="13">
        <v>10.0</v>
      </c>
      <c r="F470" s="5">
        <f>IFERROR(__xludf.DUMMYFUNCTION("""COMPUTED_VALUE"""),1.99673290000646)</f>
        <v>1.9967329</v>
      </c>
    </row>
    <row r="471">
      <c r="A471" s="5" t="str">
        <f t="shared" si="4"/>
        <v>P3</v>
      </c>
      <c r="B471" s="7">
        <v>180.0</v>
      </c>
      <c r="C471" s="11" t="s">
        <v>474</v>
      </c>
      <c r="D471" s="12" t="s">
        <v>7</v>
      </c>
      <c r="E471" s="13">
        <v>10.0</v>
      </c>
      <c r="F471" s="5">
        <f>IFERROR(__xludf.DUMMYFUNCTION("""COMPUTED_VALUE"""),1.41871120000723)</f>
        <v>1.4187112</v>
      </c>
    </row>
    <row r="472">
      <c r="A472" s="5" t="str">
        <f t="shared" si="4"/>
        <v>P3</v>
      </c>
      <c r="B472" s="7">
        <v>182.0</v>
      </c>
      <c r="C472" s="11" t="s">
        <v>475</v>
      </c>
      <c r="D472" s="12" t="s">
        <v>7</v>
      </c>
      <c r="E472" s="13">
        <v>10.0</v>
      </c>
      <c r="F472" s="5">
        <f>IFERROR(__xludf.DUMMYFUNCTION("""COMPUTED_VALUE"""),2.6551363000035)</f>
        <v>2.6551363</v>
      </c>
    </row>
    <row r="473">
      <c r="A473" s="5" t="str">
        <f t="shared" si="4"/>
        <v>P3</v>
      </c>
      <c r="B473" s="7">
        <v>183.0</v>
      </c>
      <c r="C473" s="11" t="s">
        <v>476</v>
      </c>
      <c r="D473" s="12" t="s">
        <v>7</v>
      </c>
      <c r="E473" s="13">
        <v>10.0</v>
      </c>
      <c r="F473" s="5">
        <f>IFERROR(__xludf.DUMMYFUNCTION("""COMPUTED_VALUE"""),1.57059999999182)</f>
        <v>1.5706</v>
      </c>
    </row>
    <row r="474">
      <c r="A474" s="5" t="str">
        <f t="shared" si="4"/>
        <v>P3</v>
      </c>
      <c r="B474" s="7">
        <v>184.0</v>
      </c>
      <c r="C474" s="11" t="s">
        <v>477</v>
      </c>
      <c r="D474" s="12" t="s">
        <v>7</v>
      </c>
      <c r="E474" s="13">
        <v>10.0</v>
      </c>
      <c r="F474" s="5">
        <f>IFERROR(__xludf.DUMMYFUNCTION("""COMPUTED_VALUE"""),1.24729730001126)</f>
        <v>1.2472973</v>
      </c>
    </row>
    <row r="475">
      <c r="A475" s="5" t="str">
        <f t="shared" si="4"/>
        <v>P3</v>
      </c>
      <c r="B475" s="7">
        <v>186.0</v>
      </c>
      <c r="C475" s="11" t="s">
        <v>478</v>
      </c>
      <c r="D475" s="12" t="s">
        <v>7</v>
      </c>
      <c r="E475" s="13">
        <v>10.0</v>
      </c>
      <c r="F475" s="5">
        <f>IFERROR(__xludf.DUMMYFUNCTION("""COMPUTED_VALUE"""),1.46391019999282)</f>
        <v>1.4639102</v>
      </c>
    </row>
    <row r="476">
      <c r="A476" s="5" t="str">
        <f t="shared" si="4"/>
        <v>P3</v>
      </c>
      <c r="B476" s="7">
        <v>188.0</v>
      </c>
      <c r="C476" s="11" t="s">
        <v>479</v>
      </c>
      <c r="D476" s="12" t="s">
        <v>7</v>
      </c>
      <c r="E476" s="13">
        <v>10.0</v>
      </c>
      <c r="F476" s="5">
        <f>IFERROR(__xludf.DUMMYFUNCTION("""COMPUTED_VALUE"""),1.24873279999883)</f>
        <v>1.2487328</v>
      </c>
    </row>
    <row r="477">
      <c r="A477" s="5" t="str">
        <f t="shared" si="4"/>
        <v>P3</v>
      </c>
      <c r="B477" s="7">
        <v>189.0</v>
      </c>
      <c r="C477" s="11" t="s">
        <v>480</v>
      </c>
      <c r="D477" s="12" t="s">
        <v>7</v>
      </c>
      <c r="E477" s="13">
        <v>5.0</v>
      </c>
      <c r="F477" s="5">
        <f>IFERROR(__xludf.DUMMYFUNCTION("""COMPUTED_VALUE"""),2.00264770000649)</f>
        <v>2.0026477</v>
      </c>
    </row>
    <row r="478">
      <c r="A478" s="5" t="str">
        <f t="shared" si="4"/>
        <v>P3</v>
      </c>
      <c r="B478" s="7">
        <v>191.0</v>
      </c>
      <c r="C478" s="11" t="s">
        <v>481</v>
      </c>
      <c r="D478" s="12" t="s">
        <v>7</v>
      </c>
      <c r="E478" s="13">
        <v>5.0</v>
      </c>
      <c r="F478" s="5">
        <f>IFERROR(__xludf.DUMMYFUNCTION("""COMPUTED_VALUE"""),1.62239239999325)</f>
        <v>1.6223924</v>
      </c>
    </row>
    <row r="479">
      <c r="A479" s="5" t="str">
        <f t="shared" si="4"/>
        <v>P3</v>
      </c>
      <c r="B479" s="7">
        <v>192.0</v>
      </c>
      <c r="C479" s="11" t="s">
        <v>482</v>
      </c>
      <c r="D479" s="12" t="s">
        <v>7</v>
      </c>
      <c r="E479" s="13">
        <v>5.0</v>
      </c>
      <c r="F479" s="5">
        <f>IFERROR(__xludf.DUMMYFUNCTION("""COMPUTED_VALUE"""),2.0846934000001)</f>
        <v>2.0846934</v>
      </c>
    </row>
    <row r="480">
      <c r="A480" s="5" t="str">
        <f t="shared" si="4"/>
        <v>P3</v>
      </c>
      <c r="B480" s="7">
        <v>193.0</v>
      </c>
      <c r="C480" s="11" t="s">
        <v>483</v>
      </c>
      <c r="D480" s="12" t="s">
        <v>7</v>
      </c>
      <c r="E480" s="13">
        <v>5.0</v>
      </c>
      <c r="F480" s="5">
        <f>IFERROR(__xludf.DUMMYFUNCTION("""COMPUTED_VALUE"""),1.02873590000672)</f>
        <v>1.0287359</v>
      </c>
    </row>
    <row r="481">
      <c r="A481" s="5" t="str">
        <f t="shared" si="4"/>
        <v>P3</v>
      </c>
      <c r="B481" s="7">
        <v>194.0</v>
      </c>
      <c r="C481" s="11" t="s">
        <v>484</v>
      </c>
      <c r="D481" s="12" t="s">
        <v>7</v>
      </c>
      <c r="E481" s="13">
        <v>10.0</v>
      </c>
      <c r="F481" s="5">
        <f>IFERROR(__xludf.DUMMYFUNCTION("""COMPUTED_VALUE"""),2.07426029999624)</f>
        <v>2.0742603</v>
      </c>
    </row>
    <row r="482">
      <c r="A482" s="5" t="str">
        <f t="shared" si="4"/>
        <v>P3</v>
      </c>
      <c r="B482" s="7">
        <v>196.0</v>
      </c>
      <c r="C482" s="11" t="s">
        <v>485</v>
      </c>
      <c r="D482" s="12" t="s">
        <v>7</v>
      </c>
      <c r="E482" s="13">
        <v>10.0</v>
      </c>
      <c r="F482" s="5">
        <f>IFERROR(__xludf.DUMMYFUNCTION("""COMPUTED_VALUE"""),1.49946780000755)</f>
        <v>1.4994678</v>
      </c>
    </row>
    <row r="483">
      <c r="A483" s="5" t="str">
        <f t="shared" si="4"/>
        <v>P3</v>
      </c>
      <c r="B483" s="7">
        <v>197.0</v>
      </c>
      <c r="C483" s="11" t="s">
        <v>486</v>
      </c>
      <c r="D483" s="12" t="s">
        <v>7</v>
      </c>
      <c r="E483" s="13">
        <v>5.0</v>
      </c>
      <c r="F483" s="5">
        <f>IFERROR(__xludf.DUMMYFUNCTION("""COMPUTED_VALUE"""),1.83628930000122)</f>
        <v>1.8362893</v>
      </c>
    </row>
    <row r="484">
      <c r="A484" s="5" t="str">
        <f t="shared" si="4"/>
        <v>P3</v>
      </c>
      <c r="B484" s="7">
        <v>198.0</v>
      </c>
      <c r="C484" s="11" t="s">
        <v>487</v>
      </c>
      <c r="D484" s="12" t="s">
        <v>7</v>
      </c>
      <c r="E484" s="13">
        <v>10.0</v>
      </c>
      <c r="F484" s="5">
        <f>IFERROR(__xludf.DUMMYFUNCTION("""COMPUTED_VALUE"""),2.75999409999349)</f>
        <v>2.7599941</v>
      </c>
    </row>
    <row r="485">
      <c r="A485" s="5" t="str">
        <f t="shared" ref="A485:A661" si="5">"P4"</f>
        <v>P4</v>
      </c>
      <c r="B485" s="7">
        <v>0.0</v>
      </c>
      <c r="C485" s="14" t="s">
        <v>488</v>
      </c>
      <c r="D485" s="15" t="s">
        <v>7</v>
      </c>
      <c r="E485" s="16">
        <v>5.0</v>
      </c>
      <c r="F485" s="5">
        <f>IFERROR(__xludf.DUMMYFUNCTION("""COMPUTED_VALUE"""),5.13764280000759)</f>
        <v>5.1376428</v>
      </c>
    </row>
    <row r="486">
      <c r="A486" s="5" t="str">
        <f t="shared" si="5"/>
        <v>P4</v>
      </c>
      <c r="B486" s="7">
        <v>1.0</v>
      </c>
      <c r="C486" s="14" t="s">
        <v>489</v>
      </c>
      <c r="D486" s="15" t="s">
        <v>7</v>
      </c>
      <c r="E486" s="16">
        <v>10.0</v>
      </c>
      <c r="F486" s="5">
        <f>IFERROR(__xludf.DUMMYFUNCTION("""COMPUTED_VALUE"""),1.39566059999924)</f>
        <v>1.3956606</v>
      </c>
    </row>
    <row r="487">
      <c r="A487" s="5" t="str">
        <f t="shared" si="5"/>
        <v>P4</v>
      </c>
      <c r="B487" s="7">
        <v>2.0</v>
      </c>
      <c r="C487" s="14" t="s">
        <v>490</v>
      </c>
      <c r="D487" s="15" t="s">
        <v>7</v>
      </c>
      <c r="E487" s="16">
        <v>10.0</v>
      </c>
      <c r="F487" s="5">
        <f>IFERROR(__xludf.DUMMYFUNCTION("""COMPUTED_VALUE"""),2.3578428000037)</f>
        <v>2.3578428</v>
      </c>
    </row>
    <row r="488">
      <c r="A488" s="5" t="str">
        <f t="shared" si="5"/>
        <v>P4</v>
      </c>
      <c r="B488" s="7">
        <v>3.0</v>
      </c>
      <c r="C488" s="14" t="s">
        <v>491</v>
      </c>
      <c r="D488" s="15" t="s">
        <v>7</v>
      </c>
      <c r="E488" s="16">
        <v>5.0</v>
      </c>
      <c r="F488" s="5">
        <f>IFERROR(__xludf.DUMMYFUNCTION("""COMPUTED_VALUE"""),1.81381369999144)</f>
        <v>1.8138137</v>
      </c>
    </row>
    <row r="489">
      <c r="A489" s="5" t="str">
        <f t="shared" si="5"/>
        <v>P4</v>
      </c>
      <c r="B489" s="7">
        <v>4.0</v>
      </c>
      <c r="C489" s="14" t="s">
        <v>492</v>
      </c>
      <c r="D489" s="15" t="s">
        <v>7</v>
      </c>
      <c r="E489" s="16">
        <v>5.0</v>
      </c>
      <c r="F489" s="5">
        <f>IFERROR(__xludf.DUMMYFUNCTION("""COMPUTED_VALUE"""),1.97572129999753)</f>
        <v>1.9757213</v>
      </c>
    </row>
    <row r="490">
      <c r="A490" s="5" t="str">
        <f t="shared" si="5"/>
        <v>P4</v>
      </c>
      <c r="B490" s="7">
        <v>7.0</v>
      </c>
      <c r="C490" s="14" t="s">
        <v>493</v>
      </c>
      <c r="D490" s="15" t="s">
        <v>7</v>
      </c>
      <c r="E490" s="16">
        <v>5.0</v>
      </c>
      <c r="F490" s="5">
        <f>IFERROR(__xludf.DUMMYFUNCTION("""COMPUTED_VALUE"""),1.58367560000624)</f>
        <v>1.5836756</v>
      </c>
    </row>
    <row r="491">
      <c r="A491" s="5" t="str">
        <f t="shared" si="5"/>
        <v>P4</v>
      </c>
      <c r="B491" s="7">
        <v>8.0</v>
      </c>
      <c r="C491" s="14" t="s">
        <v>494</v>
      </c>
      <c r="D491" s="15" t="s">
        <v>7</v>
      </c>
      <c r="E491" s="16">
        <v>10.0</v>
      </c>
      <c r="F491" s="5">
        <f>IFERROR(__xludf.DUMMYFUNCTION("""COMPUTED_VALUE"""),3.21484890001011)</f>
        <v>3.2148489</v>
      </c>
    </row>
    <row r="492">
      <c r="A492" s="5" t="str">
        <f t="shared" si="5"/>
        <v>P4</v>
      </c>
      <c r="B492" s="7">
        <v>9.0</v>
      </c>
      <c r="C492" s="14" t="s">
        <v>495</v>
      </c>
      <c r="D492" s="15" t="s">
        <v>7</v>
      </c>
      <c r="E492" s="16">
        <v>5.0</v>
      </c>
      <c r="F492" s="5">
        <f>IFERROR(__xludf.DUMMYFUNCTION("""COMPUTED_VALUE"""),1.96844460000284)</f>
        <v>1.9684446</v>
      </c>
    </row>
    <row r="493">
      <c r="A493" s="5" t="str">
        <f t="shared" si="5"/>
        <v>P4</v>
      </c>
      <c r="B493" s="7">
        <v>10.0</v>
      </c>
      <c r="C493" s="14" t="s">
        <v>496</v>
      </c>
      <c r="D493" s="15" t="s">
        <v>7</v>
      </c>
      <c r="E493" s="16">
        <v>10.0</v>
      </c>
      <c r="F493" s="5">
        <f>IFERROR(__xludf.DUMMYFUNCTION("""COMPUTED_VALUE"""),2.11536419999902)</f>
        <v>2.1153642</v>
      </c>
    </row>
    <row r="494">
      <c r="A494" s="5" t="str">
        <f t="shared" si="5"/>
        <v>P4</v>
      </c>
      <c r="B494" s="7">
        <v>11.0</v>
      </c>
      <c r="C494" s="14" t="s">
        <v>497</v>
      </c>
      <c r="D494" s="15" t="s">
        <v>7</v>
      </c>
      <c r="E494" s="16">
        <v>5.0</v>
      </c>
      <c r="F494" s="5">
        <f>IFERROR(__xludf.DUMMYFUNCTION("""COMPUTED_VALUE"""),1.77967699999862)</f>
        <v>1.779677</v>
      </c>
    </row>
    <row r="495">
      <c r="A495" s="5" t="str">
        <f t="shared" si="5"/>
        <v>P4</v>
      </c>
      <c r="B495" s="7">
        <v>12.0</v>
      </c>
      <c r="C495" s="14" t="s">
        <v>498</v>
      </c>
      <c r="D495" s="15" t="s">
        <v>7</v>
      </c>
      <c r="E495" s="16">
        <v>10.0</v>
      </c>
      <c r="F495" s="5">
        <f>IFERROR(__xludf.DUMMYFUNCTION("""COMPUTED_VALUE"""),2.86598119999689)</f>
        <v>2.8659812</v>
      </c>
    </row>
    <row r="496">
      <c r="A496" s="5" t="str">
        <f t="shared" si="5"/>
        <v>P4</v>
      </c>
      <c r="B496" s="7">
        <v>13.0</v>
      </c>
      <c r="C496" s="14" t="s">
        <v>499</v>
      </c>
      <c r="D496" s="15" t="s">
        <v>7</v>
      </c>
      <c r="E496" s="16">
        <v>10.0</v>
      </c>
      <c r="F496" s="5">
        <f>IFERROR(__xludf.DUMMYFUNCTION("""COMPUTED_VALUE"""),1.95708330000343)</f>
        <v>1.9570833</v>
      </c>
    </row>
    <row r="497">
      <c r="A497" s="5" t="str">
        <f t="shared" si="5"/>
        <v>P4</v>
      </c>
      <c r="B497" s="7">
        <v>14.0</v>
      </c>
      <c r="C497" s="14" t="s">
        <v>500</v>
      </c>
      <c r="D497" s="15" t="s">
        <v>7</v>
      </c>
      <c r="E497" s="16">
        <v>5.0</v>
      </c>
      <c r="F497" s="5">
        <f>IFERROR(__xludf.DUMMYFUNCTION("""COMPUTED_VALUE"""),2.14001439999265)</f>
        <v>2.1400144</v>
      </c>
    </row>
    <row r="498">
      <c r="A498" s="5" t="str">
        <f t="shared" si="5"/>
        <v>P4</v>
      </c>
      <c r="B498" s="7">
        <v>15.0</v>
      </c>
      <c r="C498" s="14" t="s">
        <v>501</v>
      </c>
      <c r="D498" s="15" t="s">
        <v>7</v>
      </c>
      <c r="E498" s="16">
        <v>5.0</v>
      </c>
      <c r="F498" s="5">
        <f>IFERROR(__xludf.DUMMYFUNCTION("""COMPUTED_VALUE"""),1.22962730001017)</f>
        <v>1.2296273</v>
      </c>
    </row>
    <row r="499">
      <c r="A499" s="5" t="str">
        <f t="shared" si="5"/>
        <v>P4</v>
      </c>
      <c r="B499" s="7">
        <v>16.0</v>
      </c>
      <c r="C499" s="14" t="s">
        <v>502</v>
      </c>
      <c r="D499" s="15" t="s">
        <v>7</v>
      </c>
      <c r="E499" s="16">
        <v>10.0</v>
      </c>
      <c r="F499" s="5">
        <f>IFERROR(__xludf.DUMMYFUNCTION("""COMPUTED_VALUE"""),2.96688130000256)</f>
        <v>2.9668813</v>
      </c>
    </row>
    <row r="500">
      <c r="A500" s="5" t="str">
        <f t="shared" si="5"/>
        <v>P4</v>
      </c>
      <c r="B500" s="7">
        <v>17.0</v>
      </c>
      <c r="C500" s="14" t="s">
        <v>503</v>
      </c>
      <c r="D500" s="15" t="s">
        <v>7</v>
      </c>
      <c r="E500" s="16">
        <v>10.0</v>
      </c>
      <c r="F500" s="5">
        <f>IFERROR(__xludf.DUMMYFUNCTION("""COMPUTED_VALUE"""),1.35385299999325)</f>
        <v>1.353853</v>
      </c>
    </row>
    <row r="501">
      <c r="A501" s="5" t="str">
        <f t="shared" si="5"/>
        <v>P4</v>
      </c>
      <c r="B501" s="7">
        <v>18.0</v>
      </c>
      <c r="C501" s="14" t="s">
        <v>504</v>
      </c>
      <c r="D501" s="15" t="s">
        <v>7</v>
      </c>
      <c r="E501" s="16">
        <v>5.0</v>
      </c>
      <c r="F501" s="5">
        <f>IFERROR(__xludf.DUMMYFUNCTION("""COMPUTED_VALUE"""),1.83438860000751)</f>
        <v>1.8343886</v>
      </c>
    </row>
    <row r="502">
      <c r="A502" s="5" t="str">
        <f t="shared" si="5"/>
        <v>P4</v>
      </c>
      <c r="B502" s="7">
        <v>19.0</v>
      </c>
      <c r="C502" s="14" t="s">
        <v>505</v>
      </c>
      <c r="D502" s="15" t="s">
        <v>7</v>
      </c>
      <c r="E502" s="16">
        <v>5.0</v>
      </c>
      <c r="F502" s="5">
        <f>IFERROR(__xludf.DUMMYFUNCTION("""COMPUTED_VALUE"""),2.59823009998945)</f>
        <v>2.5982301</v>
      </c>
    </row>
    <row r="503">
      <c r="A503" s="5" t="str">
        <f t="shared" si="5"/>
        <v>P4</v>
      </c>
      <c r="B503" s="7">
        <v>20.0</v>
      </c>
      <c r="C503" s="14" t="s">
        <v>506</v>
      </c>
      <c r="D503" s="15" t="s">
        <v>7</v>
      </c>
      <c r="E503" s="16">
        <v>10.0</v>
      </c>
      <c r="F503" s="5">
        <f>IFERROR(__xludf.DUMMYFUNCTION("""COMPUTED_VALUE"""),2.26036949999979)</f>
        <v>2.2603695</v>
      </c>
    </row>
    <row r="504">
      <c r="A504" s="5" t="str">
        <f t="shared" si="5"/>
        <v>P4</v>
      </c>
      <c r="B504" s="7">
        <v>21.0</v>
      </c>
      <c r="C504" s="14" t="s">
        <v>507</v>
      </c>
      <c r="D504" s="15" t="s">
        <v>7</v>
      </c>
      <c r="E504" s="16">
        <v>10.0</v>
      </c>
      <c r="F504" s="5">
        <f>IFERROR(__xludf.DUMMYFUNCTION("""COMPUTED_VALUE"""),2.16290330000629)</f>
        <v>2.1629033</v>
      </c>
    </row>
    <row r="505">
      <c r="A505" s="5" t="str">
        <f t="shared" si="5"/>
        <v>P4</v>
      </c>
      <c r="B505" s="7">
        <v>22.0</v>
      </c>
      <c r="C505" s="14" t="s">
        <v>508</v>
      </c>
      <c r="D505" s="15" t="s">
        <v>7</v>
      </c>
      <c r="E505" s="16">
        <v>10.0</v>
      </c>
      <c r="F505" s="5">
        <f>IFERROR(__xludf.DUMMYFUNCTION("""COMPUTED_VALUE"""),1.30075660000147)</f>
        <v>1.3007566</v>
      </c>
    </row>
    <row r="506">
      <c r="A506" s="5" t="str">
        <f t="shared" si="5"/>
        <v>P4</v>
      </c>
      <c r="B506" s="7">
        <v>23.0</v>
      </c>
      <c r="C506" s="14" t="s">
        <v>509</v>
      </c>
      <c r="D506" s="15" t="s">
        <v>7</v>
      </c>
      <c r="E506" s="16">
        <v>5.0</v>
      </c>
      <c r="F506" s="5">
        <f>IFERROR(__xludf.DUMMYFUNCTION("""COMPUTED_VALUE"""),2.06730939999397)</f>
        <v>2.0673094</v>
      </c>
    </row>
    <row r="507">
      <c r="A507" s="5" t="str">
        <f t="shared" si="5"/>
        <v>P4</v>
      </c>
      <c r="B507" s="7">
        <v>24.0</v>
      </c>
      <c r="C507" s="14" t="s">
        <v>510</v>
      </c>
      <c r="D507" s="15" t="s">
        <v>7</v>
      </c>
      <c r="E507" s="16">
        <v>5.0</v>
      </c>
      <c r="F507" s="5">
        <f>IFERROR(__xludf.DUMMYFUNCTION("""COMPUTED_VALUE"""),1.83079630001157)</f>
        <v>1.8307963</v>
      </c>
    </row>
    <row r="508">
      <c r="A508" s="5" t="str">
        <f t="shared" si="5"/>
        <v>P4</v>
      </c>
      <c r="B508" s="7">
        <v>25.0</v>
      </c>
      <c r="C508" s="14" t="s">
        <v>511</v>
      </c>
      <c r="D508" s="15" t="s">
        <v>7</v>
      </c>
      <c r="E508" s="16">
        <v>5.0</v>
      </c>
      <c r="F508" s="5">
        <f>IFERROR(__xludf.DUMMYFUNCTION("""COMPUTED_VALUE"""),2.04886510000505)</f>
        <v>2.0488651</v>
      </c>
    </row>
    <row r="509">
      <c r="A509" s="5" t="str">
        <f t="shared" si="5"/>
        <v>P4</v>
      </c>
      <c r="B509" s="7">
        <v>26.0</v>
      </c>
      <c r="C509" s="14" t="s">
        <v>512</v>
      </c>
      <c r="D509" s="15" t="s">
        <v>7</v>
      </c>
      <c r="E509" s="16">
        <v>5.0</v>
      </c>
      <c r="F509" s="5">
        <f>IFERROR(__xludf.DUMMYFUNCTION("""COMPUTED_VALUE"""),2.51776600000448)</f>
        <v>2.517766</v>
      </c>
    </row>
    <row r="510">
      <c r="A510" s="5" t="str">
        <f t="shared" si="5"/>
        <v>P4</v>
      </c>
      <c r="B510" s="7">
        <v>27.0</v>
      </c>
      <c r="C510" s="14" t="s">
        <v>513</v>
      </c>
      <c r="D510" s="15" t="s">
        <v>7</v>
      </c>
      <c r="E510" s="16">
        <v>5.0</v>
      </c>
      <c r="F510" s="5">
        <f>IFERROR(__xludf.DUMMYFUNCTION("""COMPUTED_VALUE"""),2.11637950000294)</f>
        <v>2.1163795</v>
      </c>
    </row>
    <row r="511">
      <c r="A511" s="5" t="str">
        <f t="shared" si="5"/>
        <v>P4</v>
      </c>
      <c r="B511" s="7">
        <v>28.0</v>
      </c>
      <c r="C511" s="14" t="s">
        <v>514</v>
      </c>
      <c r="D511" s="15" t="s">
        <v>7</v>
      </c>
      <c r="E511" s="16">
        <v>5.0</v>
      </c>
      <c r="F511" s="5">
        <f>IFERROR(__xludf.DUMMYFUNCTION("""COMPUTED_VALUE"""),2.55063290000543)</f>
        <v>2.5506329</v>
      </c>
    </row>
    <row r="512">
      <c r="A512" s="5" t="str">
        <f t="shared" si="5"/>
        <v>P4</v>
      </c>
      <c r="B512" s="7">
        <v>29.0</v>
      </c>
      <c r="C512" s="14" t="s">
        <v>515</v>
      </c>
      <c r="D512" s="15" t="s">
        <v>7</v>
      </c>
      <c r="E512" s="16">
        <v>5.0</v>
      </c>
      <c r="F512" s="5">
        <f>IFERROR(__xludf.DUMMYFUNCTION("""COMPUTED_VALUE"""),1.96414250000088)</f>
        <v>1.9641425</v>
      </c>
    </row>
    <row r="513">
      <c r="A513" s="5" t="str">
        <f t="shared" si="5"/>
        <v>P4</v>
      </c>
      <c r="B513" s="7">
        <v>31.0</v>
      </c>
      <c r="C513" s="14" t="s">
        <v>516</v>
      </c>
      <c r="D513" s="15" t="s">
        <v>7</v>
      </c>
      <c r="E513" s="16">
        <v>10.0</v>
      </c>
      <c r="F513" s="5">
        <f>IFERROR(__xludf.DUMMYFUNCTION("""COMPUTED_VALUE"""),1.267171399988)</f>
        <v>1.2671714</v>
      </c>
    </row>
    <row r="514">
      <c r="A514" s="5" t="str">
        <f t="shared" si="5"/>
        <v>P4</v>
      </c>
      <c r="B514" s="7">
        <v>32.0</v>
      </c>
      <c r="C514" s="14" t="s">
        <v>517</v>
      </c>
      <c r="D514" s="15" t="s">
        <v>7</v>
      </c>
      <c r="E514" s="16">
        <v>5.0</v>
      </c>
      <c r="F514" s="5">
        <f>IFERROR(__xludf.DUMMYFUNCTION("""COMPUTED_VALUE"""),1.60694139999395)</f>
        <v>1.6069414</v>
      </c>
    </row>
    <row r="515">
      <c r="A515" s="5" t="str">
        <f t="shared" si="5"/>
        <v>P4</v>
      </c>
      <c r="B515" s="7">
        <v>33.0</v>
      </c>
      <c r="C515" s="14" t="s">
        <v>518</v>
      </c>
      <c r="D515" s="15" t="s">
        <v>7</v>
      </c>
      <c r="E515" s="16">
        <v>5.0</v>
      </c>
      <c r="F515" s="5">
        <f>IFERROR(__xludf.DUMMYFUNCTION("""COMPUTED_VALUE"""),1.63993569999001)</f>
        <v>1.6399357</v>
      </c>
    </row>
    <row r="516">
      <c r="A516" s="5" t="str">
        <f t="shared" si="5"/>
        <v>P4</v>
      </c>
      <c r="B516" s="7">
        <v>34.0</v>
      </c>
      <c r="C516" s="14" t="s">
        <v>519</v>
      </c>
      <c r="D516" s="15" t="s">
        <v>7</v>
      </c>
      <c r="E516" s="16">
        <v>5.0</v>
      </c>
      <c r="F516" s="5">
        <f>IFERROR(__xludf.DUMMYFUNCTION("""COMPUTED_VALUE"""),2.33008210000116)</f>
        <v>2.3300821</v>
      </c>
    </row>
    <row r="517">
      <c r="A517" s="5" t="str">
        <f t="shared" si="5"/>
        <v>P4</v>
      </c>
      <c r="B517" s="7">
        <v>35.0</v>
      </c>
      <c r="C517" s="14" t="s">
        <v>520</v>
      </c>
      <c r="D517" s="15" t="s">
        <v>7</v>
      </c>
      <c r="E517" s="16">
        <v>5.0</v>
      </c>
      <c r="F517" s="5">
        <f>IFERROR(__xludf.DUMMYFUNCTION("""COMPUTED_VALUE"""),1.70675149999442)</f>
        <v>1.7067515</v>
      </c>
    </row>
    <row r="518">
      <c r="A518" s="5" t="str">
        <f t="shared" si="5"/>
        <v>P4</v>
      </c>
      <c r="B518" s="7">
        <v>36.0</v>
      </c>
      <c r="C518" s="14" t="s">
        <v>521</v>
      </c>
      <c r="D518" s="15" t="s">
        <v>7</v>
      </c>
      <c r="E518" s="16">
        <v>5.0</v>
      </c>
      <c r="F518" s="5">
        <f>IFERROR(__xludf.DUMMYFUNCTION("""COMPUTED_VALUE"""),1.5333401000098)</f>
        <v>1.5333401</v>
      </c>
    </row>
    <row r="519">
      <c r="A519" s="5" t="str">
        <f t="shared" si="5"/>
        <v>P4</v>
      </c>
      <c r="B519" s="7">
        <v>37.0</v>
      </c>
      <c r="C519" s="14" t="s">
        <v>522</v>
      </c>
      <c r="D519" s="15" t="s">
        <v>7</v>
      </c>
      <c r="E519" s="16">
        <v>10.0</v>
      </c>
      <c r="F519" s="5">
        <f>IFERROR(__xludf.DUMMYFUNCTION("""COMPUTED_VALUE"""),2.45604489999823)</f>
        <v>2.4560449</v>
      </c>
    </row>
    <row r="520">
      <c r="A520" s="5" t="str">
        <f t="shared" si="5"/>
        <v>P4</v>
      </c>
      <c r="B520" s="7">
        <v>39.0</v>
      </c>
      <c r="C520" s="14" t="s">
        <v>523</v>
      </c>
      <c r="D520" s="15" t="s">
        <v>7</v>
      </c>
      <c r="E520" s="16">
        <v>5.0</v>
      </c>
      <c r="F520" s="5">
        <f>IFERROR(__xludf.DUMMYFUNCTION("""COMPUTED_VALUE"""),1.72907159999886)</f>
        <v>1.7290716</v>
      </c>
    </row>
    <row r="521">
      <c r="A521" s="5" t="str">
        <f t="shared" si="5"/>
        <v>P4</v>
      </c>
      <c r="B521" s="7">
        <v>42.0</v>
      </c>
      <c r="C521" s="14" t="s">
        <v>524</v>
      </c>
      <c r="D521" s="15" t="s">
        <v>7</v>
      </c>
      <c r="E521" s="16">
        <v>5.0</v>
      </c>
      <c r="F521" s="5">
        <f>IFERROR(__xludf.DUMMYFUNCTION("""COMPUTED_VALUE"""),1.96653379999042)</f>
        <v>1.9665338</v>
      </c>
    </row>
    <row r="522">
      <c r="A522" s="5" t="str">
        <f t="shared" si="5"/>
        <v>P4</v>
      </c>
      <c r="B522" s="7">
        <v>43.0</v>
      </c>
      <c r="C522" s="14" t="s">
        <v>525</v>
      </c>
      <c r="D522" s="15" t="s">
        <v>7</v>
      </c>
      <c r="E522" s="16">
        <v>5.0</v>
      </c>
      <c r="F522" s="5">
        <f>IFERROR(__xludf.DUMMYFUNCTION("""COMPUTED_VALUE"""),1.62954370000807)</f>
        <v>1.6295437</v>
      </c>
    </row>
    <row r="523">
      <c r="A523" s="5" t="str">
        <f t="shared" si="5"/>
        <v>P4</v>
      </c>
      <c r="B523" s="7">
        <v>44.0</v>
      </c>
      <c r="C523" s="14" t="s">
        <v>526</v>
      </c>
      <c r="D523" s="15" t="s">
        <v>7</v>
      </c>
      <c r="E523" s="16">
        <v>5.0</v>
      </c>
      <c r="F523" s="5">
        <f>IFERROR(__xludf.DUMMYFUNCTION("""COMPUTED_VALUE"""),1.88393760001054)</f>
        <v>1.8839376</v>
      </c>
    </row>
    <row r="524">
      <c r="A524" s="5" t="str">
        <f t="shared" si="5"/>
        <v>P4</v>
      </c>
      <c r="B524" s="7">
        <v>45.0</v>
      </c>
      <c r="C524" s="14" t="s">
        <v>527</v>
      </c>
      <c r="D524" s="15" t="s">
        <v>7</v>
      </c>
      <c r="E524" s="16">
        <v>10.0</v>
      </c>
      <c r="F524" s="5">
        <f>IFERROR(__xludf.DUMMYFUNCTION("""COMPUTED_VALUE"""),2.36355090000142)</f>
        <v>2.3635509</v>
      </c>
    </row>
    <row r="525">
      <c r="A525" s="5" t="str">
        <f t="shared" si="5"/>
        <v>P4</v>
      </c>
      <c r="B525" s="7">
        <v>46.0</v>
      </c>
      <c r="C525" s="14" t="s">
        <v>528</v>
      </c>
      <c r="D525" s="15" t="s">
        <v>7</v>
      </c>
      <c r="E525" s="16">
        <v>5.0</v>
      </c>
      <c r="F525" s="5">
        <f>IFERROR(__xludf.DUMMYFUNCTION("""COMPUTED_VALUE"""),1.90012550000392)</f>
        <v>1.9001255</v>
      </c>
    </row>
    <row r="526">
      <c r="A526" s="5" t="str">
        <f t="shared" si="5"/>
        <v>P4</v>
      </c>
      <c r="B526" s="7">
        <v>47.0</v>
      </c>
      <c r="C526" s="14" t="s">
        <v>529</v>
      </c>
      <c r="D526" s="15" t="s">
        <v>7</v>
      </c>
      <c r="E526" s="16">
        <v>5.0</v>
      </c>
      <c r="F526" s="5">
        <f>IFERROR(__xludf.DUMMYFUNCTION("""COMPUTED_VALUE"""),1.29739959999278)</f>
        <v>1.2973996</v>
      </c>
    </row>
    <row r="527">
      <c r="A527" s="5" t="str">
        <f t="shared" si="5"/>
        <v>P4</v>
      </c>
      <c r="B527" s="7">
        <v>49.0</v>
      </c>
      <c r="C527" s="14" t="s">
        <v>530</v>
      </c>
      <c r="D527" s="15" t="s">
        <v>7</v>
      </c>
      <c r="E527" s="16">
        <v>10.0</v>
      </c>
      <c r="F527" s="5">
        <f>IFERROR(__xludf.DUMMYFUNCTION("""COMPUTED_VALUE"""),1.1845725000021)</f>
        <v>1.1845725</v>
      </c>
    </row>
    <row r="528">
      <c r="A528" s="5" t="str">
        <f t="shared" si="5"/>
        <v>P4</v>
      </c>
      <c r="B528" s="7">
        <v>50.0</v>
      </c>
      <c r="C528" s="14" t="s">
        <v>531</v>
      </c>
      <c r="D528" s="15" t="s">
        <v>7</v>
      </c>
      <c r="E528" s="16">
        <v>10.0</v>
      </c>
      <c r="F528" s="5">
        <f>IFERROR(__xludf.DUMMYFUNCTION("""COMPUTED_VALUE"""),1.50445379999291)</f>
        <v>1.5044538</v>
      </c>
    </row>
    <row r="529">
      <c r="A529" s="5" t="str">
        <f t="shared" si="5"/>
        <v>P4</v>
      </c>
      <c r="B529" s="7">
        <v>51.0</v>
      </c>
      <c r="C529" s="14" t="s">
        <v>532</v>
      </c>
      <c r="D529" s="15" t="s">
        <v>7</v>
      </c>
      <c r="E529" s="16">
        <v>10.0</v>
      </c>
      <c r="F529" s="5">
        <f>IFERROR(__xludf.DUMMYFUNCTION("""COMPUTED_VALUE"""),1.41908710000279)</f>
        <v>1.4190871</v>
      </c>
    </row>
    <row r="530">
      <c r="A530" s="5" t="str">
        <f t="shared" si="5"/>
        <v>P4</v>
      </c>
      <c r="B530" s="7">
        <v>52.0</v>
      </c>
      <c r="C530" s="14" t="s">
        <v>533</v>
      </c>
      <c r="D530" s="15" t="s">
        <v>7</v>
      </c>
      <c r="E530" s="16">
        <v>5.0</v>
      </c>
      <c r="F530" s="5">
        <f>IFERROR(__xludf.DUMMYFUNCTION("""COMPUTED_VALUE"""),2.49993659999745)</f>
        <v>2.4999366</v>
      </c>
    </row>
    <row r="531">
      <c r="A531" s="5" t="str">
        <f t="shared" si="5"/>
        <v>P4</v>
      </c>
      <c r="B531" s="7">
        <v>53.0</v>
      </c>
      <c r="C531" s="14" t="s">
        <v>534</v>
      </c>
      <c r="D531" s="15" t="s">
        <v>7</v>
      </c>
      <c r="E531" s="16">
        <v>10.0</v>
      </c>
      <c r="F531" s="5">
        <f>IFERROR(__xludf.DUMMYFUNCTION("""COMPUTED_VALUE"""),1.94980469999427)</f>
        <v>1.9498047</v>
      </c>
    </row>
    <row r="532">
      <c r="A532" s="5" t="str">
        <f t="shared" si="5"/>
        <v>P4</v>
      </c>
      <c r="B532" s="7">
        <v>54.0</v>
      </c>
      <c r="C532" s="14" t="s">
        <v>535</v>
      </c>
      <c r="D532" s="15" t="s">
        <v>7</v>
      </c>
      <c r="E532" s="16">
        <v>10.0</v>
      </c>
      <c r="F532" s="5">
        <f>IFERROR(__xludf.DUMMYFUNCTION("""COMPUTED_VALUE"""),2.46246350000728)</f>
        <v>2.4624635</v>
      </c>
    </row>
    <row r="533">
      <c r="A533" s="5" t="str">
        <f t="shared" si="5"/>
        <v>P4</v>
      </c>
      <c r="B533" s="7">
        <v>55.0</v>
      </c>
      <c r="C533" s="14" t="s">
        <v>536</v>
      </c>
      <c r="D533" s="15" t="s">
        <v>7</v>
      </c>
      <c r="E533" s="16">
        <v>5.0</v>
      </c>
      <c r="F533" s="5">
        <f>IFERROR(__xludf.DUMMYFUNCTION("""COMPUTED_VALUE"""),1.78081939999538)</f>
        <v>1.7808194</v>
      </c>
    </row>
    <row r="534">
      <c r="A534" s="5" t="str">
        <f t="shared" si="5"/>
        <v>P4</v>
      </c>
      <c r="B534" s="7">
        <v>56.0</v>
      </c>
      <c r="C534" s="14" t="s">
        <v>537</v>
      </c>
      <c r="D534" s="15" t="s">
        <v>7</v>
      </c>
      <c r="E534" s="16">
        <v>5.0</v>
      </c>
      <c r="F534" s="5">
        <f>IFERROR(__xludf.DUMMYFUNCTION("""COMPUTED_VALUE"""),1.8629995999945)</f>
        <v>1.8629996</v>
      </c>
    </row>
    <row r="535">
      <c r="A535" s="5" t="str">
        <f t="shared" si="5"/>
        <v>P4</v>
      </c>
      <c r="B535" s="7">
        <v>57.0</v>
      </c>
      <c r="C535" s="14" t="s">
        <v>538</v>
      </c>
      <c r="D535" s="15" t="s">
        <v>7</v>
      </c>
      <c r="E535" s="16">
        <v>5.0</v>
      </c>
      <c r="F535" s="5">
        <f>IFERROR(__xludf.DUMMYFUNCTION("""COMPUTED_VALUE"""),1.37024920000112)</f>
        <v>1.3702492</v>
      </c>
    </row>
    <row r="536">
      <c r="A536" s="5" t="str">
        <f t="shared" si="5"/>
        <v>P4</v>
      </c>
      <c r="B536" s="7">
        <v>59.0</v>
      </c>
      <c r="C536" s="14" t="s">
        <v>539</v>
      </c>
      <c r="D536" s="15" t="s">
        <v>7</v>
      </c>
      <c r="E536" s="16">
        <v>5.0</v>
      </c>
      <c r="F536" s="5">
        <f>IFERROR(__xludf.DUMMYFUNCTION("""COMPUTED_VALUE"""),1.79988690000027)</f>
        <v>1.7998869</v>
      </c>
    </row>
    <row r="537">
      <c r="A537" s="5" t="str">
        <f t="shared" si="5"/>
        <v>P4</v>
      </c>
      <c r="B537" s="7">
        <v>61.0</v>
      </c>
      <c r="C537" s="14" t="s">
        <v>540</v>
      </c>
      <c r="D537" s="15" t="s">
        <v>7</v>
      </c>
      <c r="E537" s="16">
        <v>10.0</v>
      </c>
      <c r="F537" s="5">
        <f>IFERROR(__xludf.DUMMYFUNCTION("""COMPUTED_VALUE"""),0.916349099992658)</f>
        <v>0.9163491</v>
      </c>
    </row>
    <row r="538">
      <c r="A538" s="5" t="str">
        <f t="shared" si="5"/>
        <v>P4</v>
      </c>
      <c r="B538" s="7">
        <v>62.0</v>
      </c>
      <c r="C538" s="14" t="s">
        <v>541</v>
      </c>
      <c r="D538" s="15" t="s">
        <v>7</v>
      </c>
      <c r="E538" s="16">
        <v>10.0</v>
      </c>
      <c r="F538" s="5">
        <f>IFERROR(__xludf.DUMMYFUNCTION("""COMPUTED_VALUE"""),1.55302739999024)</f>
        <v>1.5530274</v>
      </c>
    </row>
    <row r="539">
      <c r="A539" s="5" t="str">
        <f t="shared" si="5"/>
        <v>P4</v>
      </c>
      <c r="B539" s="7">
        <v>64.0</v>
      </c>
      <c r="C539" s="14" t="s">
        <v>542</v>
      </c>
      <c r="D539" s="15" t="s">
        <v>7</v>
      </c>
      <c r="E539" s="16">
        <v>10.0</v>
      </c>
      <c r="F539" s="5">
        <f>IFERROR(__xludf.DUMMYFUNCTION("""COMPUTED_VALUE"""),1.53933569999935)</f>
        <v>1.5393357</v>
      </c>
    </row>
    <row r="540">
      <c r="A540" s="5" t="str">
        <f t="shared" si="5"/>
        <v>P4</v>
      </c>
      <c r="B540" s="7">
        <v>65.0</v>
      </c>
      <c r="C540" s="14" t="s">
        <v>543</v>
      </c>
      <c r="D540" s="15" t="s">
        <v>7</v>
      </c>
      <c r="E540" s="16">
        <v>5.0</v>
      </c>
      <c r="F540" s="5">
        <f>IFERROR(__xludf.DUMMYFUNCTION("""COMPUTED_VALUE"""),2.11570409999694)</f>
        <v>2.1157041</v>
      </c>
    </row>
    <row r="541">
      <c r="A541" s="5" t="str">
        <f t="shared" si="5"/>
        <v>P4</v>
      </c>
      <c r="B541" s="7">
        <v>66.0</v>
      </c>
      <c r="C541" s="14" t="s">
        <v>544</v>
      </c>
      <c r="D541" s="15" t="s">
        <v>7</v>
      </c>
      <c r="E541" s="16">
        <v>5.0</v>
      </c>
      <c r="F541" s="5">
        <f>IFERROR(__xludf.DUMMYFUNCTION("""COMPUTED_VALUE"""),1.30602150000049)</f>
        <v>1.3060215</v>
      </c>
    </row>
    <row r="542">
      <c r="A542" s="5" t="str">
        <f t="shared" si="5"/>
        <v>P4</v>
      </c>
      <c r="B542" s="7">
        <v>67.0</v>
      </c>
      <c r="C542" s="14" t="s">
        <v>545</v>
      </c>
      <c r="D542" s="15" t="s">
        <v>7</v>
      </c>
      <c r="E542" s="16">
        <v>10.0</v>
      </c>
      <c r="F542" s="5">
        <f>IFERROR(__xludf.DUMMYFUNCTION("""COMPUTED_VALUE"""),2.93782020000799)</f>
        <v>2.9378202</v>
      </c>
    </row>
    <row r="543">
      <c r="A543" s="5" t="str">
        <f t="shared" si="5"/>
        <v>P4</v>
      </c>
      <c r="B543" s="7">
        <v>68.0</v>
      </c>
      <c r="C543" s="14" t="s">
        <v>546</v>
      </c>
      <c r="D543" s="15" t="s">
        <v>7</v>
      </c>
      <c r="E543" s="16">
        <v>5.0</v>
      </c>
      <c r="F543" s="5">
        <f>IFERROR(__xludf.DUMMYFUNCTION("""COMPUTED_VALUE"""),2.38061839999863)</f>
        <v>2.3806184</v>
      </c>
    </row>
    <row r="544">
      <c r="A544" s="5" t="str">
        <f t="shared" si="5"/>
        <v>P4</v>
      </c>
      <c r="B544" s="7">
        <v>70.0</v>
      </c>
      <c r="C544" s="14" t="s">
        <v>547</v>
      </c>
      <c r="D544" s="15" t="s">
        <v>7</v>
      </c>
      <c r="E544" s="16">
        <v>5.0</v>
      </c>
      <c r="F544" s="5">
        <f>IFERROR(__xludf.DUMMYFUNCTION("""COMPUTED_VALUE"""),1.47465259999444)</f>
        <v>1.4746526</v>
      </c>
    </row>
    <row r="545">
      <c r="A545" s="5" t="str">
        <f t="shared" si="5"/>
        <v>P4</v>
      </c>
      <c r="B545" s="7">
        <v>71.0</v>
      </c>
      <c r="C545" s="14" t="s">
        <v>548</v>
      </c>
      <c r="D545" s="15" t="s">
        <v>7</v>
      </c>
      <c r="E545" s="16">
        <v>5.0</v>
      </c>
      <c r="F545" s="5">
        <f>IFERROR(__xludf.DUMMYFUNCTION("""COMPUTED_VALUE"""),2.58463469998969)</f>
        <v>2.5846347</v>
      </c>
    </row>
    <row r="546">
      <c r="A546" s="5" t="str">
        <f t="shared" si="5"/>
        <v>P4</v>
      </c>
      <c r="B546" s="7">
        <v>73.0</v>
      </c>
      <c r="C546" s="14" t="s">
        <v>549</v>
      </c>
      <c r="D546" s="15" t="s">
        <v>7</v>
      </c>
      <c r="E546" s="16">
        <v>10.0</v>
      </c>
      <c r="F546" s="5">
        <f>IFERROR(__xludf.DUMMYFUNCTION("""COMPUTED_VALUE"""),2.39833799999905)</f>
        <v>2.398338</v>
      </c>
    </row>
    <row r="547">
      <c r="A547" s="5" t="str">
        <f t="shared" si="5"/>
        <v>P4</v>
      </c>
      <c r="B547" s="7">
        <v>74.0</v>
      </c>
      <c r="C547" s="14" t="s">
        <v>550</v>
      </c>
      <c r="D547" s="15" t="s">
        <v>7</v>
      </c>
      <c r="E547" s="16">
        <v>10.0</v>
      </c>
      <c r="F547" s="5">
        <f>IFERROR(__xludf.DUMMYFUNCTION("""COMPUTED_VALUE"""),2.70052450000366)</f>
        <v>2.7005245</v>
      </c>
    </row>
    <row r="548">
      <c r="A548" s="5" t="str">
        <f t="shared" si="5"/>
        <v>P4</v>
      </c>
      <c r="B548" s="7">
        <v>75.0</v>
      </c>
      <c r="C548" s="14" t="s">
        <v>551</v>
      </c>
      <c r="D548" s="15" t="s">
        <v>7</v>
      </c>
      <c r="E548" s="16">
        <v>5.0</v>
      </c>
      <c r="F548" s="5">
        <f>IFERROR(__xludf.DUMMYFUNCTION("""COMPUTED_VALUE"""),2.2828950999974)</f>
        <v>2.2828951</v>
      </c>
    </row>
    <row r="549">
      <c r="A549" s="5" t="str">
        <f t="shared" si="5"/>
        <v>P4</v>
      </c>
      <c r="B549" s="7">
        <v>76.0</v>
      </c>
      <c r="C549" s="14" t="s">
        <v>552</v>
      </c>
      <c r="D549" s="15" t="s">
        <v>7</v>
      </c>
      <c r="E549" s="16">
        <v>5.0</v>
      </c>
      <c r="F549" s="5">
        <f>IFERROR(__xludf.DUMMYFUNCTION("""COMPUTED_VALUE"""),2.27983390000008)</f>
        <v>2.2798339</v>
      </c>
    </row>
    <row r="550">
      <c r="A550" s="5" t="str">
        <f t="shared" si="5"/>
        <v>P4</v>
      </c>
      <c r="B550" s="7">
        <v>77.0</v>
      </c>
      <c r="C550" s="14" t="s">
        <v>553</v>
      </c>
      <c r="D550" s="15" t="s">
        <v>7</v>
      </c>
      <c r="E550" s="16">
        <v>5.0</v>
      </c>
      <c r="F550" s="5">
        <f>IFERROR(__xludf.DUMMYFUNCTION("""COMPUTED_VALUE"""),1.82289820000005)</f>
        <v>1.8228982</v>
      </c>
    </row>
    <row r="551">
      <c r="A551" s="5" t="str">
        <f t="shared" si="5"/>
        <v>P4</v>
      </c>
      <c r="B551" s="7">
        <v>78.0</v>
      </c>
      <c r="C551" s="14" t="s">
        <v>554</v>
      </c>
      <c r="D551" s="15" t="s">
        <v>7</v>
      </c>
      <c r="E551" s="16">
        <v>5.0</v>
      </c>
      <c r="F551" s="5">
        <f>IFERROR(__xludf.DUMMYFUNCTION("""COMPUTED_VALUE"""),1.63268090000201)</f>
        <v>1.6326809</v>
      </c>
    </row>
    <row r="552">
      <c r="A552" s="5" t="str">
        <f t="shared" si="5"/>
        <v>P4</v>
      </c>
      <c r="B552" s="7">
        <v>79.0</v>
      </c>
      <c r="C552" s="14" t="s">
        <v>555</v>
      </c>
      <c r="D552" s="15" t="s">
        <v>7</v>
      </c>
      <c r="E552" s="16">
        <v>5.0</v>
      </c>
      <c r="F552" s="5">
        <f>IFERROR(__xludf.DUMMYFUNCTION("""COMPUTED_VALUE"""),1.54675490000227)</f>
        <v>1.5467549</v>
      </c>
    </row>
    <row r="553">
      <c r="A553" s="5" t="str">
        <f t="shared" si="5"/>
        <v>P4</v>
      </c>
      <c r="B553" s="7">
        <v>80.0</v>
      </c>
      <c r="C553" s="14" t="s">
        <v>556</v>
      </c>
      <c r="D553" s="15" t="s">
        <v>7</v>
      </c>
      <c r="E553" s="16">
        <v>5.0</v>
      </c>
      <c r="F553" s="5">
        <f>IFERROR(__xludf.DUMMYFUNCTION("""COMPUTED_VALUE"""),1.5143950000056)</f>
        <v>1.514395</v>
      </c>
    </row>
    <row r="554">
      <c r="A554" s="5" t="str">
        <f t="shared" si="5"/>
        <v>P4</v>
      </c>
      <c r="B554" s="7">
        <v>81.0</v>
      </c>
      <c r="C554" s="14" t="s">
        <v>557</v>
      </c>
      <c r="D554" s="15" t="s">
        <v>7</v>
      </c>
      <c r="E554" s="16">
        <v>10.0</v>
      </c>
      <c r="F554" s="5">
        <f>IFERROR(__xludf.DUMMYFUNCTION("""COMPUTED_VALUE"""),2.99202630000945)</f>
        <v>2.9920263</v>
      </c>
    </row>
    <row r="555">
      <c r="A555" s="5" t="str">
        <f t="shared" si="5"/>
        <v>P4</v>
      </c>
      <c r="B555" s="7">
        <v>82.0</v>
      </c>
      <c r="C555" s="14" t="s">
        <v>558</v>
      </c>
      <c r="D555" s="15" t="s">
        <v>7</v>
      </c>
      <c r="E555" s="16">
        <v>10.0</v>
      </c>
      <c r="F555" s="5">
        <f>IFERROR(__xludf.DUMMYFUNCTION("""COMPUTED_VALUE"""),2.33028270000068)</f>
        <v>2.3302827</v>
      </c>
    </row>
    <row r="556">
      <c r="A556" s="5" t="str">
        <f t="shared" si="5"/>
        <v>P4</v>
      </c>
      <c r="B556" s="7">
        <v>83.0</v>
      </c>
      <c r="C556" s="14" t="s">
        <v>559</v>
      </c>
      <c r="D556" s="15" t="s">
        <v>7</v>
      </c>
      <c r="E556" s="16">
        <v>5.0</v>
      </c>
      <c r="F556" s="5">
        <f>IFERROR(__xludf.DUMMYFUNCTION("""COMPUTED_VALUE"""),1.96314880000136)</f>
        <v>1.9631488</v>
      </c>
    </row>
    <row r="557">
      <c r="A557" s="5" t="str">
        <f t="shared" si="5"/>
        <v>P4</v>
      </c>
      <c r="B557" s="7">
        <v>85.0</v>
      </c>
      <c r="C557" s="14" t="s">
        <v>560</v>
      </c>
      <c r="D557" s="15" t="s">
        <v>7</v>
      </c>
      <c r="E557" s="16">
        <v>5.0</v>
      </c>
      <c r="F557" s="5">
        <f>IFERROR(__xludf.DUMMYFUNCTION("""COMPUTED_VALUE"""),3.21352830000978)</f>
        <v>3.2135283</v>
      </c>
    </row>
    <row r="558">
      <c r="A558" s="5" t="str">
        <f t="shared" si="5"/>
        <v>P4</v>
      </c>
      <c r="B558" s="7">
        <v>86.0</v>
      </c>
      <c r="C558" s="14" t="s">
        <v>561</v>
      </c>
      <c r="D558" s="15" t="s">
        <v>7</v>
      </c>
      <c r="E558" s="16">
        <v>10.0</v>
      </c>
      <c r="F558" s="5">
        <f>IFERROR(__xludf.DUMMYFUNCTION("""COMPUTED_VALUE"""),1.48892519999935)</f>
        <v>1.4889252</v>
      </c>
    </row>
    <row r="559">
      <c r="A559" s="5" t="str">
        <f t="shared" si="5"/>
        <v>P4</v>
      </c>
      <c r="B559" s="7">
        <v>87.0</v>
      </c>
      <c r="C559" s="14" t="s">
        <v>562</v>
      </c>
      <c r="D559" s="15" t="s">
        <v>7</v>
      </c>
      <c r="E559" s="16">
        <v>5.0</v>
      </c>
      <c r="F559" s="5">
        <f>IFERROR(__xludf.DUMMYFUNCTION("""COMPUTED_VALUE"""),1.61720739999145)</f>
        <v>1.6172074</v>
      </c>
    </row>
    <row r="560">
      <c r="A560" s="5" t="str">
        <f t="shared" si="5"/>
        <v>P4</v>
      </c>
      <c r="B560" s="7">
        <v>88.0</v>
      </c>
      <c r="C560" s="14" t="s">
        <v>563</v>
      </c>
      <c r="D560" s="15" t="s">
        <v>7</v>
      </c>
      <c r="E560" s="16">
        <v>10.0</v>
      </c>
      <c r="F560" s="5">
        <f>IFERROR(__xludf.DUMMYFUNCTION("""COMPUTED_VALUE"""),1.48060460000124)</f>
        <v>1.4806046</v>
      </c>
    </row>
    <row r="561">
      <c r="A561" s="5" t="str">
        <f t="shared" si="5"/>
        <v>P4</v>
      </c>
      <c r="B561" s="7">
        <v>89.0</v>
      </c>
      <c r="C561" s="14" t="s">
        <v>564</v>
      </c>
      <c r="D561" s="15" t="s">
        <v>7</v>
      </c>
      <c r="E561" s="16">
        <v>5.0</v>
      </c>
      <c r="F561" s="5">
        <f>IFERROR(__xludf.DUMMYFUNCTION("""COMPUTED_VALUE"""),2.47093320000567)</f>
        <v>2.4709332</v>
      </c>
    </row>
    <row r="562">
      <c r="A562" s="5" t="str">
        <f t="shared" si="5"/>
        <v>P4</v>
      </c>
      <c r="B562" s="7">
        <v>90.0</v>
      </c>
      <c r="C562" s="14" t="s">
        <v>565</v>
      </c>
      <c r="D562" s="15" t="s">
        <v>7</v>
      </c>
      <c r="E562" s="16">
        <v>5.0</v>
      </c>
      <c r="F562" s="5">
        <f>IFERROR(__xludf.DUMMYFUNCTION("""COMPUTED_VALUE"""),1.57423820000258)</f>
        <v>1.5742382</v>
      </c>
    </row>
    <row r="563">
      <c r="A563" s="5" t="str">
        <f t="shared" si="5"/>
        <v>P4</v>
      </c>
      <c r="B563" s="7">
        <v>91.0</v>
      </c>
      <c r="C563" s="14" t="s">
        <v>566</v>
      </c>
      <c r="D563" s="15" t="s">
        <v>7</v>
      </c>
      <c r="E563" s="16">
        <v>5.0</v>
      </c>
      <c r="F563" s="5">
        <f>IFERROR(__xludf.DUMMYFUNCTION("""COMPUTED_VALUE"""),1.64326879999134)</f>
        <v>1.6432688</v>
      </c>
    </row>
    <row r="564">
      <c r="A564" s="5" t="str">
        <f t="shared" si="5"/>
        <v>P4</v>
      </c>
      <c r="B564" s="7">
        <v>92.0</v>
      </c>
      <c r="C564" s="14" t="s">
        <v>567</v>
      </c>
      <c r="D564" s="15" t="s">
        <v>7</v>
      </c>
      <c r="E564" s="16">
        <v>5.0</v>
      </c>
      <c r="F564" s="5">
        <f>IFERROR(__xludf.DUMMYFUNCTION("""COMPUTED_VALUE"""),1.66191819999949)</f>
        <v>1.6619182</v>
      </c>
    </row>
    <row r="565">
      <c r="A565" s="5" t="str">
        <f t="shared" si="5"/>
        <v>P4</v>
      </c>
      <c r="B565" s="7">
        <v>93.0</v>
      </c>
      <c r="C565" s="14" t="s">
        <v>568</v>
      </c>
      <c r="D565" s="15" t="s">
        <v>7</v>
      </c>
      <c r="E565" s="16">
        <v>5.0</v>
      </c>
      <c r="F565" s="5">
        <f>IFERROR(__xludf.DUMMYFUNCTION("""COMPUTED_VALUE"""),1.42494349999469)</f>
        <v>1.4249435</v>
      </c>
    </row>
    <row r="566">
      <c r="A566" s="5" t="str">
        <f t="shared" si="5"/>
        <v>P4</v>
      </c>
      <c r="B566" s="7">
        <v>94.0</v>
      </c>
      <c r="C566" s="14" t="s">
        <v>569</v>
      </c>
      <c r="D566" s="15" t="s">
        <v>7</v>
      </c>
      <c r="E566" s="16">
        <v>10.0</v>
      </c>
      <c r="F566" s="5">
        <f>IFERROR(__xludf.DUMMYFUNCTION("""COMPUTED_VALUE"""),2.38728359999367)</f>
        <v>2.3872836</v>
      </c>
    </row>
    <row r="567">
      <c r="A567" s="5" t="str">
        <f t="shared" si="5"/>
        <v>P4</v>
      </c>
      <c r="B567" s="7">
        <v>95.0</v>
      </c>
      <c r="C567" s="14" t="s">
        <v>570</v>
      </c>
      <c r="D567" s="15" t="s">
        <v>7</v>
      </c>
      <c r="E567" s="16">
        <v>5.0</v>
      </c>
      <c r="F567" s="5">
        <f>IFERROR(__xludf.DUMMYFUNCTION("""COMPUTED_VALUE"""),1.80175319999398)</f>
        <v>1.8017532</v>
      </c>
    </row>
    <row r="568">
      <c r="A568" s="5" t="str">
        <f t="shared" si="5"/>
        <v>P4</v>
      </c>
      <c r="B568" s="7">
        <v>96.0</v>
      </c>
      <c r="C568" s="14" t="s">
        <v>571</v>
      </c>
      <c r="D568" s="15" t="s">
        <v>7</v>
      </c>
      <c r="E568" s="16">
        <v>5.0</v>
      </c>
      <c r="F568" s="5">
        <f>IFERROR(__xludf.DUMMYFUNCTION("""COMPUTED_VALUE"""),2.12878639998962)</f>
        <v>2.1287864</v>
      </c>
    </row>
    <row r="569">
      <c r="A569" s="5" t="str">
        <f t="shared" si="5"/>
        <v>P4</v>
      </c>
      <c r="B569" s="7">
        <v>97.0</v>
      </c>
      <c r="C569" s="14" t="s">
        <v>572</v>
      </c>
      <c r="D569" s="15" t="s">
        <v>7</v>
      </c>
      <c r="E569" s="16">
        <v>5.0</v>
      </c>
      <c r="F569" s="5">
        <f>IFERROR(__xludf.DUMMYFUNCTION("""COMPUTED_VALUE"""),1.53325429999677)</f>
        <v>1.5332543</v>
      </c>
    </row>
    <row r="570">
      <c r="A570" s="5" t="str">
        <f t="shared" si="5"/>
        <v>P4</v>
      </c>
      <c r="B570" s="7">
        <v>98.0</v>
      </c>
      <c r="C570" s="14" t="s">
        <v>573</v>
      </c>
      <c r="D570" s="15" t="s">
        <v>7</v>
      </c>
      <c r="E570" s="16">
        <v>5.0</v>
      </c>
      <c r="F570" s="5">
        <f>IFERROR(__xludf.DUMMYFUNCTION("""COMPUTED_VALUE"""),1.74392500000249)</f>
        <v>1.743925</v>
      </c>
    </row>
    <row r="571">
      <c r="A571" s="5" t="str">
        <f t="shared" si="5"/>
        <v>P4</v>
      </c>
      <c r="B571" s="7">
        <v>99.0</v>
      </c>
      <c r="C571" s="14" t="s">
        <v>574</v>
      </c>
      <c r="D571" s="15" t="s">
        <v>7</v>
      </c>
      <c r="E571" s="16">
        <v>5.0</v>
      </c>
      <c r="F571" s="5">
        <f>IFERROR(__xludf.DUMMYFUNCTION("""COMPUTED_VALUE"""),2.6030640000099)</f>
        <v>2.603064</v>
      </c>
    </row>
    <row r="572">
      <c r="A572" s="5" t="str">
        <f t="shared" si="5"/>
        <v>P4</v>
      </c>
      <c r="B572" s="7">
        <v>100.0</v>
      </c>
      <c r="C572" s="14" t="s">
        <v>575</v>
      </c>
      <c r="D572" s="15" t="s">
        <v>7</v>
      </c>
      <c r="E572" s="16">
        <v>10.0</v>
      </c>
      <c r="F572" s="5">
        <f>IFERROR(__xludf.DUMMYFUNCTION("""COMPUTED_VALUE"""),1.69447510001191)</f>
        <v>1.6944751</v>
      </c>
    </row>
    <row r="573">
      <c r="A573" s="5" t="str">
        <f t="shared" si="5"/>
        <v>P4</v>
      </c>
      <c r="B573" s="7">
        <v>101.0</v>
      </c>
      <c r="C573" s="14" t="s">
        <v>576</v>
      </c>
      <c r="D573" s="15" t="s">
        <v>7</v>
      </c>
      <c r="E573" s="16">
        <v>10.0</v>
      </c>
      <c r="F573" s="5">
        <f>IFERROR(__xludf.DUMMYFUNCTION("""COMPUTED_VALUE"""),1.77848040001117)</f>
        <v>1.7784804</v>
      </c>
    </row>
    <row r="574">
      <c r="A574" s="5" t="str">
        <f t="shared" si="5"/>
        <v>P4</v>
      </c>
      <c r="B574" s="7">
        <v>102.0</v>
      </c>
      <c r="C574" s="14" t="s">
        <v>577</v>
      </c>
      <c r="D574" s="15" t="s">
        <v>7</v>
      </c>
      <c r="E574" s="16">
        <v>10.0</v>
      </c>
      <c r="F574" s="5">
        <f>IFERROR(__xludf.DUMMYFUNCTION("""COMPUTED_VALUE"""),1.46502470000996)</f>
        <v>1.4650247</v>
      </c>
    </row>
    <row r="575">
      <c r="A575" s="5" t="str">
        <f t="shared" si="5"/>
        <v>P4</v>
      </c>
      <c r="B575" s="7">
        <v>103.0</v>
      </c>
      <c r="C575" s="14" t="s">
        <v>578</v>
      </c>
      <c r="D575" s="15" t="s">
        <v>7</v>
      </c>
      <c r="E575" s="16">
        <v>10.0</v>
      </c>
      <c r="F575" s="5">
        <f>IFERROR(__xludf.DUMMYFUNCTION("""COMPUTED_VALUE"""),1.36686360000749)</f>
        <v>1.3668636</v>
      </c>
    </row>
    <row r="576">
      <c r="A576" s="5" t="str">
        <f t="shared" si="5"/>
        <v>P4</v>
      </c>
      <c r="B576" s="7">
        <v>104.0</v>
      </c>
      <c r="C576" s="14" t="s">
        <v>579</v>
      </c>
      <c r="D576" s="15" t="s">
        <v>7</v>
      </c>
      <c r="E576" s="16">
        <v>10.0</v>
      </c>
      <c r="F576" s="5">
        <f>IFERROR(__xludf.DUMMYFUNCTION("""COMPUTED_VALUE"""),3.00306269999418)</f>
        <v>3.0030627</v>
      </c>
    </row>
    <row r="577">
      <c r="A577" s="5" t="str">
        <f t="shared" si="5"/>
        <v>P4</v>
      </c>
      <c r="B577" s="7">
        <v>105.0</v>
      </c>
      <c r="C577" s="14" t="s">
        <v>580</v>
      </c>
      <c r="D577" s="15" t="s">
        <v>7</v>
      </c>
      <c r="E577" s="16">
        <v>5.0</v>
      </c>
      <c r="F577" s="5">
        <f>IFERROR(__xludf.DUMMYFUNCTION("""COMPUTED_VALUE"""),1.07696069999656)</f>
        <v>1.0769607</v>
      </c>
    </row>
    <row r="578">
      <c r="A578" s="5" t="str">
        <f t="shared" si="5"/>
        <v>P4</v>
      </c>
      <c r="B578" s="7">
        <v>106.0</v>
      </c>
      <c r="C578" s="14" t="s">
        <v>581</v>
      </c>
      <c r="D578" s="15" t="s">
        <v>7</v>
      </c>
      <c r="E578" s="16">
        <v>5.0</v>
      </c>
      <c r="F578" s="5">
        <f>IFERROR(__xludf.DUMMYFUNCTION("""COMPUTED_VALUE"""),1.9145789000031)</f>
        <v>1.9145789</v>
      </c>
    </row>
    <row r="579">
      <c r="A579" s="5" t="str">
        <f t="shared" si="5"/>
        <v>P4</v>
      </c>
      <c r="B579" s="7">
        <v>107.0</v>
      </c>
      <c r="C579" s="14" t="s">
        <v>582</v>
      </c>
      <c r="D579" s="15" t="s">
        <v>7</v>
      </c>
      <c r="E579" s="16">
        <v>5.0</v>
      </c>
      <c r="F579" s="5">
        <f>IFERROR(__xludf.DUMMYFUNCTION("""COMPUTED_VALUE"""),1.4342067999969)</f>
        <v>1.4342068</v>
      </c>
    </row>
    <row r="580">
      <c r="A580" s="5" t="str">
        <f t="shared" si="5"/>
        <v>P4</v>
      </c>
      <c r="B580" s="7">
        <v>109.0</v>
      </c>
      <c r="C580" s="14" t="s">
        <v>583</v>
      </c>
      <c r="D580" s="15" t="s">
        <v>7</v>
      </c>
      <c r="E580" s="16">
        <v>5.0</v>
      </c>
      <c r="F580" s="5">
        <f>IFERROR(__xludf.DUMMYFUNCTION("""COMPUTED_VALUE"""),1.51596989999234)</f>
        <v>1.5159699</v>
      </c>
    </row>
    <row r="581">
      <c r="A581" s="5" t="str">
        <f t="shared" si="5"/>
        <v>P4</v>
      </c>
      <c r="B581" s="7">
        <v>110.0</v>
      </c>
      <c r="C581" s="14" t="s">
        <v>584</v>
      </c>
      <c r="D581" s="15" t="s">
        <v>7</v>
      </c>
      <c r="E581" s="16">
        <v>10.0</v>
      </c>
      <c r="F581" s="5">
        <f>IFERROR(__xludf.DUMMYFUNCTION("""COMPUTED_VALUE"""),1.57044840000162)</f>
        <v>1.5704484</v>
      </c>
    </row>
    <row r="582">
      <c r="A582" s="5" t="str">
        <f t="shared" si="5"/>
        <v>P4</v>
      </c>
      <c r="B582" s="7">
        <v>111.0</v>
      </c>
      <c r="C582" s="14" t="s">
        <v>585</v>
      </c>
      <c r="D582" s="15" t="s">
        <v>7</v>
      </c>
      <c r="E582" s="16">
        <v>5.0</v>
      </c>
      <c r="F582" s="5">
        <f>IFERROR(__xludf.DUMMYFUNCTION("""COMPUTED_VALUE"""),1.33371189999161)</f>
        <v>1.3337119</v>
      </c>
    </row>
    <row r="583">
      <c r="A583" s="5" t="str">
        <f t="shared" si="5"/>
        <v>P4</v>
      </c>
      <c r="B583" s="7">
        <v>112.0</v>
      </c>
      <c r="C583" s="14" t="s">
        <v>586</v>
      </c>
      <c r="D583" s="15" t="s">
        <v>7</v>
      </c>
      <c r="E583" s="16">
        <v>5.0</v>
      </c>
      <c r="F583" s="5">
        <f>IFERROR(__xludf.DUMMYFUNCTION("""COMPUTED_VALUE"""),1.53602329999557)</f>
        <v>1.5360233</v>
      </c>
    </row>
    <row r="584">
      <c r="A584" s="5" t="str">
        <f t="shared" si="5"/>
        <v>P4</v>
      </c>
      <c r="B584" s="7">
        <v>113.0</v>
      </c>
      <c r="C584" s="14" t="s">
        <v>587</v>
      </c>
      <c r="D584" s="15" t="s">
        <v>7</v>
      </c>
      <c r="E584" s="16">
        <v>5.0</v>
      </c>
      <c r="F584" s="5">
        <f>IFERROR(__xludf.DUMMYFUNCTION("""COMPUTED_VALUE"""),1.50079609999374)</f>
        <v>1.5007961</v>
      </c>
    </row>
    <row r="585">
      <c r="A585" s="5" t="str">
        <f t="shared" si="5"/>
        <v>P4</v>
      </c>
      <c r="B585" s="7">
        <v>114.0</v>
      </c>
      <c r="C585" s="14" t="s">
        <v>588</v>
      </c>
      <c r="D585" s="15" t="s">
        <v>7</v>
      </c>
      <c r="E585" s="16">
        <v>10.0</v>
      </c>
      <c r="F585" s="5">
        <f>IFERROR(__xludf.DUMMYFUNCTION("""COMPUTED_VALUE"""),1.49967350000224)</f>
        <v>1.4996735</v>
      </c>
    </row>
    <row r="586">
      <c r="A586" s="5" t="str">
        <f t="shared" si="5"/>
        <v>P4</v>
      </c>
      <c r="B586" s="7">
        <v>116.0</v>
      </c>
      <c r="C586" s="14" t="s">
        <v>589</v>
      </c>
      <c r="D586" s="15" t="s">
        <v>7</v>
      </c>
      <c r="E586" s="16">
        <v>10.0</v>
      </c>
      <c r="F586" s="5">
        <f>IFERROR(__xludf.DUMMYFUNCTION("""COMPUTED_VALUE"""),2.44004519999725)</f>
        <v>2.4400452</v>
      </c>
    </row>
    <row r="587">
      <c r="A587" s="5" t="str">
        <f t="shared" si="5"/>
        <v>P4</v>
      </c>
      <c r="B587" s="7">
        <v>117.0</v>
      </c>
      <c r="C587" s="14" t="s">
        <v>590</v>
      </c>
      <c r="D587" s="15" t="s">
        <v>7</v>
      </c>
      <c r="E587" s="16">
        <v>10.0</v>
      </c>
      <c r="F587" s="5">
        <f>IFERROR(__xludf.DUMMYFUNCTION("""COMPUTED_VALUE"""),1.82321709999814)</f>
        <v>1.8232171</v>
      </c>
    </row>
    <row r="588">
      <c r="A588" s="5" t="str">
        <f t="shared" si="5"/>
        <v>P4</v>
      </c>
      <c r="B588" s="7">
        <v>118.0</v>
      </c>
      <c r="C588" s="14" t="s">
        <v>591</v>
      </c>
      <c r="D588" s="15" t="s">
        <v>7</v>
      </c>
      <c r="E588" s="16">
        <v>5.0</v>
      </c>
      <c r="F588" s="5">
        <f>IFERROR(__xludf.DUMMYFUNCTION("""COMPUTED_VALUE"""),1.58110679998935)</f>
        <v>1.5811068</v>
      </c>
    </row>
    <row r="589">
      <c r="A589" s="5" t="str">
        <f t="shared" si="5"/>
        <v>P4</v>
      </c>
      <c r="B589" s="7">
        <v>120.0</v>
      </c>
      <c r="C589" s="14" t="s">
        <v>592</v>
      </c>
      <c r="D589" s="15" t="s">
        <v>7</v>
      </c>
      <c r="E589" s="16">
        <v>5.0</v>
      </c>
      <c r="F589" s="5">
        <f>IFERROR(__xludf.DUMMYFUNCTION("""COMPUTED_VALUE"""),2.19807069998933)</f>
        <v>2.1980707</v>
      </c>
    </row>
    <row r="590">
      <c r="A590" s="5" t="str">
        <f t="shared" si="5"/>
        <v>P4</v>
      </c>
      <c r="B590" s="7">
        <v>122.0</v>
      </c>
      <c r="C590" s="14" t="s">
        <v>593</v>
      </c>
      <c r="D590" s="15" t="s">
        <v>7</v>
      </c>
      <c r="E590" s="16">
        <v>10.0</v>
      </c>
      <c r="F590" s="5">
        <f>IFERROR(__xludf.DUMMYFUNCTION("""COMPUTED_VALUE"""),2.39087720001407)</f>
        <v>2.3908772</v>
      </c>
    </row>
    <row r="591">
      <c r="A591" s="5" t="str">
        <f t="shared" si="5"/>
        <v>P4</v>
      </c>
      <c r="B591" s="7">
        <v>123.0</v>
      </c>
      <c r="C591" s="14" t="s">
        <v>594</v>
      </c>
      <c r="D591" s="15" t="s">
        <v>7</v>
      </c>
      <c r="E591" s="16">
        <v>10.0</v>
      </c>
      <c r="F591" s="5">
        <f>IFERROR(__xludf.DUMMYFUNCTION("""COMPUTED_VALUE"""),2.81678470000042)</f>
        <v>2.8167847</v>
      </c>
    </row>
    <row r="592">
      <c r="A592" s="5" t="str">
        <f t="shared" si="5"/>
        <v>P4</v>
      </c>
      <c r="B592" s="7">
        <v>124.0</v>
      </c>
      <c r="C592" s="14" t="s">
        <v>595</v>
      </c>
      <c r="D592" s="15" t="s">
        <v>7</v>
      </c>
      <c r="E592" s="16">
        <v>5.0</v>
      </c>
      <c r="F592" s="5">
        <f>IFERROR(__xludf.DUMMYFUNCTION("""COMPUTED_VALUE"""),2.22228859999449)</f>
        <v>2.2222886</v>
      </c>
    </row>
    <row r="593">
      <c r="A593" s="5" t="str">
        <f t="shared" si="5"/>
        <v>P4</v>
      </c>
      <c r="B593" s="7">
        <v>125.0</v>
      </c>
      <c r="C593" s="14" t="s">
        <v>596</v>
      </c>
      <c r="D593" s="15" t="s">
        <v>7</v>
      </c>
      <c r="E593" s="16">
        <v>5.0</v>
      </c>
      <c r="F593" s="5">
        <f>IFERROR(__xludf.DUMMYFUNCTION("""COMPUTED_VALUE"""),1.86423639999702)</f>
        <v>1.8642364</v>
      </c>
    </row>
    <row r="594">
      <c r="A594" s="5" t="str">
        <f t="shared" si="5"/>
        <v>P4</v>
      </c>
      <c r="B594" s="7">
        <v>126.0</v>
      </c>
      <c r="C594" s="14" t="s">
        <v>597</v>
      </c>
      <c r="D594" s="15" t="s">
        <v>7</v>
      </c>
      <c r="E594" s="16">
        <v>10.0</v>
      </c>
      <c r="F594" s="5">
        <f>IFERROR(__xludf.DUMMYFUNCTION("""COMPUTED_VALUE"""),1.98694760000216)</f>
        <v>1.9869476</v>
      </c>
    </row>
    <row r="595">
      <c r="A595" s="5" t="str">
        <f t="shared" si="5"/>
        <v>P4</v>
      </c>
      <c r="B595" s="7">
        <v>127.0</v>
      </c>
      <c r="C595" s="14" t="s">
        <v>598</v>
      </c>
      <c r="D595" s="15" t="s">
        <v>7</v>
      </c>
      <c r="E595" s="16">
        <v>5.0</v>
      </c>
      <c r="F595" s="5">
        <f>IFERROR(__xludf.DUMMYFUNCTION("""COMPUTED_VALUE"""),1.66512540000258)</f>
        <v>1.6651254</v>
      </c>
    </row>
    <row r="596">
      <c r="A596" s="5" t="str">
        <f t="shared" si="5"/>
        <v>P4</v>
      </c>
      <c r="B596" s="7">
        <v>128.0</v>
      </c>
      <c r="C596" s="14" t="s">
        <v>599</v>
      </c>
      <c r="D596" s="15" t="s">
        <v>7</v>
      </c>
      <c r="E596" s="16">
        <v>5.0</v>
      </c>
      <c r="F596" s="5">
        <f>IFERROR(__xludf.DUMMYFUNCTION("""COMPUTED_VALUE"""),1.32027169999491)</f>
        <v>1.3202717</v>
      </c>
    </row>
    <row r="597">
      <c r="A597" s="5" t="str">
        <f t="shared" si="5"/>
        <v>P4</v>
      </c>
      <c r="B597" s="7">
        <v>129.0</v>
      </c>
      <c r="C597" s="14" t="s">
        <v>600</v>
      </c>
      <c r="D597" s="15" t="s">
        <v>7</v>
      </c>
      <c r="E597" s="16">
        <v>10.0</v>
      </c>
      <c r="F597" s="5">
        <f>IFERROR(__xludf.DUMMYFUNCTION("""COMPUTED_VALUE"""),2.0998999000003)</f>
        <v>2.0998999</v>
      </c>
    </row>
    <row r="598">
      <c r="A598" s="5" t="str">
        <f t="shared" si="5"/>
        <v>P4</v>
      </c>
      <c r="B598" s="7">
        <v>130.0</v>
      </c>
      <c r="C598" s="14" t="s">
        <v>601</v>
      </c>
      <c r="D598" s="15" t="s">
        <v>7</v>
      </c>
      <c r="E598" s="16">
        <v>10.0</v>
      </c>
      <c r="F598" s="5">
        <f>IFERROR(__xludf.DUMMYFUNCTION("""COMPUTED_VALUE"""),1.59598719999485)</f>
        <v>1.5959872</v>
      </c>
    </row>
    <row r="599">
      <c r="A599" s="5" t="str">
        <f t="shared" si="5"/>
        <v>P4</v>
      </c>
      <c r="B599" s="7">
        <v>131.0</v>
      </c>
      <c r="C599" s="14" t="s">
        <v>602</v>
      </c>
      <c r="D599" s="15" t="s">
        <v>7</v>
      </c>
      <c r="E599" s="16">
        <v>10.0</v>
      </c>
      <c r="F599" s="5">
        <f>IFERROR(__xludf.DUMMYFUNCTION("""COMPUTED_VALUE"""),1.3439941000106)</f>
        <v>1.3439941</v>
      </c>
    </row>
    <row r="600">
      <c r="A600" s="5" t="str">
        <f t="shared" si="5"/>
        <v>P4</v>
      </c>
      <c r="B600" s="7">
        <v>132.0</v>
      </c>
      <c r="C600" s="14" t="s">
        <v>603</v>
      </c>
      <c r="D600" s="15" t="s">
        <v>7</v>
      </c>
      <c r="E600" s="16">
        <v>5.0</v>
      </c>
      <c r="F600" s="5">
        <f>IFERROR(__xludf.DUMMYFUNCTION("""COMPUTED_VALUE"""),1.55042640000465)</f>
        <v>1.5504264</v>
      </c>
    </row>
    <row r="601">
      <c r="A601" s="5" t="str">
        <f t="shared" si="5"/>
        <v>P4</v>
      </c>
      <c r="B601" s="7">
        <v>133.0</v>
      </c>
      <c r="C601" s="14" t="s">
        <v>604</v>
      </c>
      <c r="D601" s="15" t="s">
        <v>7</v>
      </c>
      <c r="E601" s="16">
        <v>10.0</v>
      </c>
      <c r="F601" s="5">
        <f>IFERROR(__xludf.DUMMYFUNCTION("""COMPUTED_VALUE"""),1.87725049999426)</f>
        <v>1.8772505</v>
      </c>
    </row>
    <row r="602">
      <c r="A602" s="5" t="str">
        <f t="shared" si="5"/>
        <v>P4</v>
      </c>
      <c r="B602" s="7">
        <v>134.0</v>
      </c>
      <c r="C602" s="14" t="s">
        <v>605</v>
      </c>
      <c r="D602" s="15" t="s">
        <v>7</v>
      </c>
      <c r="E602" s="16">
        <v>5.0</v>
      </c>
      <c r="F602" s="5">
        <f>IFERROR(__xludf.DUMMYFUNCTION("""COMPUTED_VALUE"""),1.59889579999435)</f>
        <v>1.5988958</v>
      </c>
    </row>
    <row r="603">
      <c r="A603" s="5" t="str">
        <f t="shared" si="5"/>
        <v>P4</v>
      </c>
      <c r="B603" s="7">
        <v>135.0</v>
      </c>
      <c r="C603" s="14" t="s">
        <v>606</v>
      </c>
      <c r="D603" s="15" t="s">
        <v>7</v>
      </c>
      <c r="E603" s="16">
        <v>5.0</v>
      </c>
      <c r="F603" s="5">
        <f>IFERROR(__xludf.DUMMYFUNCTION("""COMPUTED_VALUE"""),1.74923200000193)</f>
        <v>1.749232</v>
      </c>
    </row>
    <row r="604">
      <c r="A604" s="5" t="str">
        <f t="shared" si="5"/>
        <v>P4</v>
      </c>
      <c r="B604" s="7">
        <v>136.0</v>
      </c>
      <c r="C604" s="14" t="s">
        <v>607</v>
      </c>
      <c r="D604" s="15" t="s">
        <v>7</v>
      </c>
      <c r="E604" s="16">
        <v>10.0</v>
      </c>
      <c r="F604" s="5">
        <f>IFERROR(__xludf.DUMMYFUNCTION("""COMPUTED_VALUE"""),1.68371510000724)</f>
        <v>1.6837151</v>
      </c>
    </row>
    <row r="605">
      <c r="A605" s="5" t="str">
        <f t="shared" si="5"/>
        <v>P4</v>
      </c>
      <c r="B605" s="7">
        <v>137.0</v>
      </c>
      <c r="C605" s="14" t="s">
        <v>608</v>
      </c>
      <c r="D605" s="15" t="s">
        <v>7</v>
      </c>
      <c r="E605" s="16">
        <v>5.0</v>
      </c>
      <c r="F605" s="5">
        <f>IFERROR(__xludf.DUMMYFUNCTION("""COMPUTED_VALUE"""),1.7294305999967)</f>
        <v>1.7294306</v>
      </c>
    </row>
    <row r="606">
      <c r="A606" s="5" t="str">
        <f t="shared" si="5"/>
        <v>P4</v>
      </c>
      <c r="B606" s="7">
        <v>139.0</v>
      </c>
      <c r="C606" s="14" t="s">
        <v>609</v>
      </c>
      <c r="D606" s="15" t="s">
        <v>7</v>
      </c>
      <c r="E606" s="16">
        <v>10.0</v>
      </c>
      <c r="F606" s="5">
        <f>IFERROR(__xludf.DUMMYFUNCTION("""COMPUTED_VALUE"""),2.02812960000301)</f>
        <v>2.0281296</v>
      </c>
    </row>
    <row r="607">
      <c r="A607" s="5" t="str">
        <f t="shared" si="5"/>
        <v>P4</v>
      </c>
      <c r="B607" s="7">
        <v>140.0</v>
      </c>
      <c r="C607" s="14" t="s">
        <v>610</v>
      </c>
      <c r="D607" s="15" t="s">
        <v>7</v>
      </c>
      <c r="E607" s="16">
        <v>10.0</v>
      </c>
      <c r="F607" s="5">
        <f>IFERROR(__xludf.DUMMYFUNCTION("""COMPUTED_VALUE"""),2.75440999999409)</f>
        <v>2.75441</v>
      </c>
    </row>
    <row r="608">
      <c r="A608" s="5" t="str">
        <f t="shared" si="5"/>
        <v>P4</v>
      </c>
      <c r="B608" s="7">
        <v>141.0</v>
      </c>
      <c r="C608" s="14" t="s">
        <v>611</v>
      </c>
      <c r="D608" s="15" t="s">
        <v>7</v>
      </c>
      <c r="E608" s="16">
        <v>10.0</v>
      </c>
      <c r="F608" s="5">
        <f>IFERROR(__xludf.DUMMYFUNCTION("""COMPUTED_VALUE"""),1.83994439999514)</f>
        <v>1.8399444</v>
      </c>
    </row>
    <row r="609">
      <c r="A609" s="5" t="str">
        <f t="shared" si="5"/>
        <v>P4</v>
      </c>
      <c r="B609" s="7">
        <v>142.0</v>
      </c>
      <c r="C609" s="14" t="s">
        <v>612</v>
      </c>
      <c r="D609" s="15" t="s">
        <v>7</v>
      </c>
      <c r="E609" s="16">
        <v>5.0</v>
      </c>
      <c r="F609" s="5">
        <f>IFERROR(__xludf.DUMMYFUNCTION("""COMPUTED_VALUE"""),1.76130990000092)</f>
        <v>1.7613099</v>
      </c>
    </row>
    <row r="610">
      <c r="A610" s="5" t="str">
        <f t="shared" si="5"/>
        <v>P4</v>
      </c>
      <c r="B610" s="7">
        <v>144.0</v>
      </c>
      <c r="C610" s="14" t="s">
        <v>613</v>
      </c>
      <c r="D610" s="15" t="s">
        <v>7</v>
      </c>
      <c r="E610" s="16">
        <v>5.0</v>
      </c>
      <c r="F610" s="5">
        <f>IFERROR(__xludf.DUMMYFUNCTION("""COMPUTED_VALUE"""),2.21574169999803)</f>
        <v>2.2157417</v>
      </c>
    </row>
    <row r="611">
      <c r="A611" s="5" t="str">
        <f t="shared" si="5"/>
        <v>P4</v>
      </c>
      <c r="B611" s="7">
        <v>145.0</v>
      </c>
      <c r="C611" s="14" t="s">
        <v>614</v>
      </c>
      <c r="D611" s="15" t="s">
        <v>7</v>
      </c>
      <c r="E611" s="16">
        <v>5.0</v>
      </c>
      <c r="F611" s="5">
        <f>IFERROR(__xludf.DUMMYFUNCTION("""COMPUTED_VALUE"""),1.8759718999936)</f>
        <v>1.8759719</v>
      </c>
    </row>
    <row r="612">
      <c r="A612" s="5" t="str">
        <f t="shared" si="5"/>
        <v>P4</v>
      </c>
      <c r="B612" s="7">
        <v>146.0</v>
      </c>
      <c r="C612" s="14" t="s">
        <v>615</v>
      </c>
      <c r="D612" s="15" t="s">
        <v>7</v>
      </c>
      <c r="E612" s="16">
        <v>10.0</v>
      </c>
      <c r="F612" s="5">
        <f>IFERROR(__xludf.DUMMYFUNCTION("""COMPUTED_VALUE"""),1.38755359999777)</f>
        <v>1.3875536</v>
      </c>
    </row>
    <row r="613">
      <c r="A613" s="5" t="str">
        <f t="shared" si="5"/>
        <v>P4</v>
      </c>
      <c r="B613" s="7">
        <v>147.0</v>
      </c>
      <c r="C613" s="14" t="s">
        <v>616</v>
      </c>
      <c r="D613" s="15" t="s">
        <v>7</v>
      </c>
      <c r="E613" s="16">
        <v>10.0</v>
      </c>
      <c r="F613" s="5">
        <f>IFERROR(__xludf.DUMMYFUNCTION("""COMPUTED_VALUE"""),2.55529899999965)</f>
        <v>2.555299</v>
      </c>
    </row>
    <row r="614">
      <c r="A614" s="5" t="str">
        <f t="shared" si="5"/>
        <v>P4</v>
      </c>
      <c r="B614" s="7">
        <v>149.0</v>
      </c>
      <c r="C614" s="14" t="s">
        <v>617</v>
      </c>
      <c r="D614" s="15" t="s">
        <v>7</v>
      </c>
      <c r="E614" s="16">
        <v>5.0</v>
      </c>
      <c r="F614" s="5">
        <f>IFERROR(__xludf.DUMMYFUNCTION("""COMPUTED_VALUE"""),1.91585289999784)</f>
        <v>1.9158529</v>
      </c>
    </row>
    <row r="615">
      <c r="A615" s="5" t="str">
        <f t="shared" si="5"/>
        <v>P4</v>
      </c>
      <c r="B615" s="7">
        <v>150.0</v>
      </c>
      <c r="C615" s="14" t="s">
        <v>618</v>
      </c>
      <c r="D615" s="15" t="s">
        <v>7</v>
      </c>
      <c r="E615" s="16">
        <v>10.0</v>
      </c>
      <c r="F615" s="5">
        <f>IFERROR(__xludf.DUMMYFUNCTION("""COMPUTED_VALUE"""),1.6017731000029)</f>
        <v>1.6017731</v>
      </c>
    </row>
    <row r="616">
      <c r="A616" s="5" t="str">
        <f t="shared" si="5"/>
        <v>P4</v>
      </c>
      <c r="B616" s="7">
        <v>151.0</v>
      </c>
      <c r="C616" s="14" t="s">
        <v>619</v>
      </c>
      <c r="D616" s="15" t="s">
        <v>7</v>
      </c>
      <c r="E616" s="16">
        <v>10.0</v>
      </c>
      <c r="F616" s="5">
        <f>IFERROR(__xludf.DUMMYFUNCTION("""COMPUTED_VALUE"""),2.54301359999226)</f>
        <v>2.5430136</v>
      </c>
    </row>
    <row r="617">
      <c r="A617" s="5" t="str">
        <f t="shared" si="5"/>
        <v>P4</v>
      </c>
      <c r="B617" s="7">
        <v>152.0</v>
      </c>
      <c r="C617" s="14" t="s">
        <v>620</v>
      </c>
      <c r="D617" s="15" t="s">
        <v>7</v>
      </c>
      <c r="E617" s="16">
        <v>5.0</v>
      </c>
      <c r="F617" s="5">
        <f>IFERROR(__xludf.DUMMYFUNCTION("""COMPUTED_VALUE"""),1.5495832000015)</f>
        <v>1.5495832</v>
      </c>
    </row>
    <row r="618">
      <c r="A618" s="5" t="str">
        <f t="shared" si="5"/>
        <v>P4</v>
      </c>
      <c r="B618" s="7">
        <v>153.0</v>
      </c>
      <c r="C618" s="14" t="s">
        <v>621</v>
      </c>
      <c r="D618" s="15" t="s">
        <v>7</v>
      </c>
      <c r="E618" s="16">
        <v>5.0</v>
      </c>
      <c r="F618" s="5">
        <f>IFERROR(__xludf.DUMMYFUNCTION("""COMPUTED_VALUE"""),2.06515360000776)</f>
        <v>2.0651536</v>
      </c>
    </row>
    <row r="619">
      <c r="A619" s="5" t="str">
        <f t="shared" si="5"/>
        <v>P4</v>
      </c>
      <c r="B619" s="7">
        <v>154.0</v>
      </c>
      <c r="C619" s="14" t="s">
        <v>622</v>
      </c>
      <c r="D619" s="15" t="s">
        <v>7</v>
      </c>
      <c r="E619" s="16">
        <v>5.0</v>
      </c>
      <c r="F619" s="5">
        <f>IFERROR(__xludf.DUMMYFUNCTION("""COMPUTED_VALUE"""),1.71579980000387)</f>
        <v>1.7157998</v>
      </c>
    </row>
    <row r="620">
      <c r="A620" s="5" t="str">
        <f t="shared" si="5"/>
        <v>P4</v>
      </c>
      <c r="B620" s="7">
        <v>155.0</v>
      </c>
      <c r="C620" s="14" t="s">
        <v>623</v>
      </c>
      <c r="D620" s="15" t="s">
        <v>7</v>
      </c>
      <c r="E620" s="16">
        <v>10.0</v>
      </c>
      <c r="F620" s="5">
        <f>IFERROR(__xludf.DUMMYFUNCTION("""COMPUTED_VALUE"""),1.83527410001261)</f>
        <v>1.8352741</v>
      </c>
    </row>
    <row r="621">
      <c r="A621" s="5" t="str">
        <f t="shared" si="5"/>
        <v>P4</v>
      </c>
      <c r="B621" s="7">
        <v>156.0</v>
      </c>
      <c r="C621" s="14" t="s">
        <v>624</v>
      </c>
      <c r="D621" s="15" t="s">
        <v>7</v>
      </c>
      <c r="E621" s="16">
        <v>10.0</v>
      </c>
      <c r="F621" s="5">
        <f>IFERROR(__xludf.DUMMYFUNCTION("""COMPUTED_VALUE"""),2.50727750000078)</f>
        <v>2.5072775</v>
      </c>
    </row>
    <row r="622">
      <c r="A622" s="5" t="str">
        <f t="shared" si="5"/>
        <v>P4</v>
      </c>
      <c r="B622" s="7">
        <v>158.0</v>
      </c>
      <c r="C622" s="14" t="s">
        <v>625</v>
      </c>
      <c r="D622" s="15" t="s">
        <v>7</v>
      </c>
      <c r="E622" s="16">
        <v>10.0</v>
      </c>
      <c r="F622" s="5">
        <f>IFERROR(__xludf.DUMMYFUNCTION("""COMPUTED_VALUE"""),2.2332507000101)</f>
        <v>2.2332507</v>
      </c>
    </row>
    <row r="623">
      <c r="A623" s="5" t="str">
        <f t="shared" si="5"/>
        <v>P4</v>
      </c>
      <c r="B623" s="7">
        <v>159.0</v>
      </c>
      <c r="C623" s="14" t="s">
        <v>626</v>
      </c>
      <c r="D623" s="15" t="s">
        <v>7</v>
      </c>
      <c r="E623" s="16">
        <v>5.0</v>
      </c>
      <c r="F623" s="5">
        <f>IFERROR(__xludf.DUMMYFUNCTION("""COMPUTED_VALUE"""),2.03202630000305)</f>
        <v>2.0320263</v>
      </c>
    </row>
    <row r="624">
      <c r="A624" s="5" t="str">
        <f t="shared" si="5"/>
        <v>P4</v>
      </c>
      <c r="B624" s="7">
        <v>160.0</v>
      </c>
      <c r="C624" s="14" t="s">
        <v>627</v>
      </c>
      <c r="D624" s="15" t="s">
        <v>7</v>
      </c>
      <c r="E624" s="16">
        <v>5.0</v>
      </c>
      <c r="F624" s="5">
        <f>IFERROR(__xludf.DUMMYFUNCTION("""COMPUTED_VALUE"""),2.25002609999501)</f>
        <v>2.2500261</v>
      </c>
    </row>
    <row r="625">
      <c r="A625" s="5" t="str">
        <f t="shared" si="5"/>
        <v>P4</v>
      </c>
      <c r="B625" s="7">
        <v>161.0</v>
      </c>
      <c r="C625" s="14" t="s">
        <v>628</v>
      </c>
      <c r="D625" s="15" t="s">
        <v>7</v>
      </c>
      <c r="E625" s="16">
        <v>5.0</v>
      </c>
      <c r="F625" s="5">
        <f>IFERROR(__xludf.DUMMYFUNCTION("""COMPUTED_VALUE"""),1.74344809999456)</f>
        <v>1.7434481</v>
      </c>
    </row>
    <row r="626">
      <c r="A626" s="5" t="str">
        <f t="shared" si="5"/>
        <v>P4</v>
      </c>
      <c r="B626" s="7">
        <v>162.0</v>
      </c>
      <c r="C626" s="14" t="s">
        <v>629</v>
      </c>
      <c r="D626" s="15" t="s">
        <v>7</v>
      </c>
      <c r="E626" s="16">
        <v>5.0</v>
      </c>
      <c r="F626" s="5">
        <f>IFERROR(__xludf.DUMMYFUNCTION("""COMPUTED_VALUE"""),1.21823889999359)</f>
        <v>1.2182389</v>
      </c>
    </row>
    <row r="627">
      <c r="A627" s="5" t="str">
        <f t="shared" si="5"/>
        <v>P4</v>
      </c>
      <c r="B627" s="7">
        <v>163.0</v>
      </c>
      <c r="C627" s="14" t="s">
        <v>630</v>
      </c>
      <c r="D627" s="15" t="s">
        <v>7</v>
      </c>
      <c r="E627" s="16">
        <v>10.0</v>
      </c>
      <c r="F627" s="5">
        <f>IFERROR(__xludf.DUMMYFUNCTION("""COMPUTED_VALUE"""),1.67237259999092)</f>
        <v>1.6723726</v>
      </c>
    </row>
    <row r="628">
      <c r="A628" s="5" t="str">
        <f t="shared" si="5"/>
        <v>P4</v>
      </c>
      <c r="B628" s="7">
        <v>164.0</v>
      </c>
      <c r="C628" s="14" t="s">
        <v>631</v>
      </c>
      <c r="D628" s="15" t="s">
        <v>7</v>
      </c>
      <c r="E628" s="16">
        <v>5.0</v>
      </c>
      <c r="F628" s="5">
        <f>IFERROR(__xludf.DUMMYFUNCTION("""COMPUTED_VALUE"""),2.14792000000306)</f>
        <v>2.14792</v>
      </c>
    </row>
    <row r="629">
      <c r="A629" s="5" t="str">
        <f t="shared" si="5"/>
        <v>P4</v>
      </c>
      <c r="B629" s="7">
        <v>165.0</v>
      </c>
      <c r="C629" s="14" t="s">
        <v>632</v>
      </c>
      <c r="D629" s="15" t="s">
        <v>7</v>
      </c>
      <c r="E629" s="16">
        <v>5.0</v>
      </c>
      <c r="F629" s="5">
        <f>IFERROR(__xludf.DUMMYFUNCTION("""COMPUTED_VALUE"""),1.46599090000381)</f>
        <v>1.4659909</v>
      </c>
    </row>
    <row r="630">
      <c r="A630" s="5" t="str">
        <f t="shared" si="5"/>
        <v>P4</v>
      </c>
      <c r="B630" s="7">
        <v>166.0</v>
      </c>
      <c r="C630" s="14" t="s">
        <v>633</v>
      </c>
      <c r="D630" s="15" t="s">
        <v>7</v>
      </c>
      <c r="E630" s="16">
        <v>10.0</v>
      </c>
      <c r="F630" s="5">
        <f>IFERROR(__xludf.DUMMYFUNCTION("""COMPUTED_VALUE"""),2.01961590000428)</f>
        <v>2.0196159</v>
      </c>
    </row>
    <row r="631">
      <c r="A631" s="5" t="str">
        <f t="shared" si="5"/>
        <v>P4</v>
      </c>
      <c r="B631" s="7">
        <v>167.0</v>
      </c>
      <c r="C631" s="14" t="s">
        <v>634</v>
      </c>
      <c r="D631" s="15" t="s">
        <v>7</v>
      </c>
      <c r="E631" s="16">
        <v>5.0</v>
      </c>
      <c r="F631" s="5">
        <f>IFERROR(__xludf.DUMMYFUNCTION("""COMPUTED_VALUE"""),1.41714779999165)</f>
        <v>1.4171478</v>
      </c>
    </row>
    <row r="632">
      <c r="A632" s="5" t="str">
        <f t="shared" si="5"/>
        <v>P4</v>
      </c>
      <c r="B632" s="7">
        <v>168.0</v>
      </c>
      <c r="C632" s="14" t="s">
        <v>635</v>
      </c>
      <c r="D632" s="15" t="s">
        <v>7</v>
      </c>
      <c r="E632" s="16">
        <v>5.0</v>
      </c>
      <c r="F632" s="5">
        <f>IFERROR(__xludf.DUMMYFUNCTION("""COMPUTED_VALUE"""),2.36482689999684)</f>
        <v>2.3648269</v>
      </c>
    </row>
    <row r="633">
      <c r="A633" s="5" t="str">
        <f t="shared" si="5"/>
        <v>P4</v>
      </c>
      <c r="B633" s="7">
        <v>169.0</v>
      </c>
      <c r="C633" s="14" t="s">
        <v>636</v>
      </c>
      <c r="D633" s="15" t="s">
        <v>7</v>
      </c>
      <c r="E633" s="16">
        <v>10.0</v>
      </c>
      <c r="F633" s="5">
        <f>IFERROR(__xludf.DUMMYFUNCTION("""COMPUTED_VALUE"""),1.64497530000517)</f>
        <v>1.6449753</v>
      </c>
    </row>
    <row r="634">
      <c r="A634" s="5" t="str">
        <f t="shared" si="5"/>
        <v>P4</v>
      </c>
      <c r="B634" s="7">
        <v>170.0</v>
      </c>
      <c r="C634" s="14" t="s">
        <v>637</v>
      </c>
      <c r="D634" s="15" t="s">
        <v>7</v>
      </c>
      <c r="E634" s="16">
        <v>5.0</v>
      </c>
      <c r="F634" s="5">
        <f>IFERROR(__xludf.DUMMYFUNCTION("""COMPUTED_VALUE"""),1.63360670000838)</f>
        <v>1.6336067</v>
      </c>
    </row>
    <row r="635">
      <c r="A635" s="5" t="str">
        <f t="shared" si="5"/>
        <v>P4</v>
      </c>
      <c r="B635" s="7">
        <v>171.0</v>
      </c>
      <c r="C635" s="14" t="s">
        <v>638</v>
      </c>
      <c r="D635" s="15" t="s">
        <v>7</v>
      </c>
      <c r="E635" s="16">
        <v>10.0</v>
      </c>
      <c r="F635" s="5">
        <f>IFERROR(__xludf.DUMMYFUNCTION("""COMPUTED_VALUE"""),2.48174149999977)</f>
        <v>2.4817415</v>
      </c>
    </row>
    <row r="636">
      <c r="A636" s="5" t="str">
        <f t="shared" si="5"/>
        <v>P4</v>
      </c>
      <c r="B636" s="7">
        <v>172.0</v>
      </c>
      <c r="C636" s="14" t="s">
        <v>639</v>
      </c>
      <c r="D636" s="15" t="s">
        <v>7</v>
      </c>
      <c r="E636" s="16">
        <v>10.0</v>
      </c>
      <c r="F636" s="5">
        <f>IFERROR(__xludf.DUMMYFUNCTION("""COMPUTED_VALUE"""),1.56312869999965)</f>
        <v>1.5631287</v>
      </c>
    </row>
    <row r="637">
      <c r="A637" s="5" t="str">
        <f t="shared" si="5"/>
        <v>P4</v>
      </c>
      <c r="B637" s="7">
        <v>173.0</v>
      </c>
      <c r="C637" s="14" t="s">
        <v>640</v>
      </c>
      <c r="D637" s="15" t="s">
        <v>7</v>
      </c>
      <c r="E637" s="16">
        <v>10.0</v>
      </c>
      <c r="F637" s="5">
        <f>IFERROR(__xludf.DUMMYFUNCTION("""COMPUTED_VALUE"""),2.05732640001224)</f>
        <v>2.0573264</v>
      </c>
    </row>
    <row r="638">
      <c r="A638" s="5" t="str">
        <f t="shared" si="5"/>
        <v>P4</v>
      </c>
      <c r="B638" s="7">
        <v>174.0</v>
      </c>
      <c r="C638" s="14" t="s">
        <v>641</v>
      </c>
      <c r="D638" s="15" t="s">
        <v>7</v>
      </c>
      <c r="E638" s="16">
        <v>5.0</v>
      </c>
      <c r="F638" s="5">
        <f>IFERROR(__xludf.DUMMYFUNCTION("""COMPUTED_VALUE"""),2.85084250000363)</f>
        <v>2.8508425</v>
      </c>
    </row>
    <row r="639">
      <c r="A639" s="5" t="str">
        <f t="shared" si="5"/>
        <v>P4</v>
      </c>
      <c r="B639" s="7">
        <v>175.0</v>
      </c>
      <c r="C639" s="14" t="s">
        <v>642</v>
      </c>
      <c r="D639" s="15" t="s">
        <v>7</v>
      </c>
      <c r="E639" s="16">
        <v>5.0</v>
      </c>
      <c r="F639" s="5">
        <f>IFERROR(__xludf.DUMMYFUNCTION("""COMPUTED_VALUE"""),1.6670152000006)</f>
        <v>1.6670152</v>
      </c>
    </row>
    <row r="640">
      <c r="A640" s="5" t="str">
        <f t="shared" si="5"/>
        <v>P4</v>
      </c>
      <c r="B640" s="7">
        <v>176.0</v>
      </c>
      <c r="C640" s="14" t="s">
        <v>643</v>
      </c>
      <c r="D640" s="15" t="s">
        <v>7</v>
      </c>
      <c r="E640" s="16">
        <v>10.0</v>
      </c>
      <c r="F640" s="5">
        <f>IFERROR(__xludf.DUMMYFUNCTION("""COMPUTED_VALUE"""),2.47020739999425)</f>
        <v>2.4702074</v>
      </c>
    </row>
    <row r="641">
      <c r="A641" s="5" t="str">
        <f t="shared" si="5"/>
        <v>P4</v>
      </c>
      <c r="B641" s="7">
        <v>177.0</v>
      </c>
      <c r="C641" s="14" t="s">
        <v>644</v>
      </c>
      <c r="D641" s="15" t="s">
        <v>7</v>
      </c>
      <c r="E641" s="16">
        <v>10.0</v>
      </c>
      <c r="F641" s="5">
        <f>IFERROR(__xludf.DUMMYFUNCTION("""COMPUTED_VALUE"""),1.78220570000121)</f>
        <v>1.7822057</v>
      </c>
    </row>
    <row r="642">
      <c r="A642" s="5" t="str">
        <f t="shared" si="5"/>
        <v>P4</v>
      </c>
      <c r="B642" s="7">
        <v>178.0</v>
      </c>
      <c r="C642" s="14" t="s">
        <v>645</v>
      </c>
      <c r="D642" s="15" t="s">
        <v>7</v>
      </c>
      <c r="E642" s="16">
        <v>10.0</v>
      </c>
      <c r="F642" s="5">
        <f>IFERROR(__xludf.DUMMYFUNCTION("""COMPUTED_VALUE"""),1.82196029998885)</f>
        <v>1.8219603</v>
      </c>
    </row>
    <row r="643">
      <c r="A643" s="5" t="str">
        <f t="shared" si="5"/>
        <v>P4</v>
      </c>
      <c r="B643" s="7">
        <v>179.0</v>
      </c>
      <c r="C643" s="14" t="s">
        <v>646</v>
      </c>
      <c r="D643" s="15" t="s">
        <v>7</v>
      </c>
      <c r="E643" s="16">
        <v>5.0</v>
      </c>
      <c r="F643" s="5">
        <f>IFERROR(__xludf.DUMMYFUNCTION("""COMPUTED_VALUE"""),1.733943299987)</f>
        <v>1.7339433</v>
      </c>
    </row>
    <row r="644">
      <c r="A644" s="5" t="str">
        <f t="shared" si="5"/>
        <v>P4</v>
      </c>
      <c r="B644" s="7">
        <v>180.0</v>
      </c>
      <c r="C644" s="14" t="s">
        <v>647</v>
      </c>
      <c r="D644" s="15" t="s">
        <v>7</v>
      </c>
      <c r="E644" s="16">
        <v>10.0</v>
      </c>
      <c r="F644" s="5">
        <f>IFERROR(__xludf.DUMMYFUNCTION("""COMPUTED_VALUE"""),3.01359220000449)</f>
        <v>3.0135922</v>
      </c>
    </row>
    <row r="645">
      <c r="A645" s="5" t="str">
        <f t="shared" si="5"/>
        <v>P4</v>
      </c>
      <c r="B645" s="7">
        <v>182.0</v>
      </c>
      <c r="C645" s="14" t="s">
        <v>648</v>
      </c>
      <c r="D645" s="15" t="s">
        <v>7</v>
      </c>
      <c r="E645" s="16">
        <v>5.0</v>
      </c>
      <c r="F645" s="5">
        <f>IFERROR(__xludf.DUMMYFUNCTION("""COMPUTED_VALUE"""),1.69812410000304)</f>
        <v>1.6981241</v>
      </c>
    </row>
    <row r="646">
      <c r="A646" s="5" t="str">
        <f t="shared" si="5"/>
        <v>P4</v>
      </c>
      <c r="B646" s="7">
        <v>183.0</v>
      </c>
      <c r="C646" s="14" t="s">
        <v>649</v>
      </c>
      <c r="D646" s="15" t="s">
        <v>7</v>
      </c>
      <c r="E646" s="16">
        <v>5.0</v>
      </c>
      <c r="F646" s="5">
        <f>IFERROR(__xludf.DUMMYFUNCTION("""COMPUTED_VALUE"""),2.26460999999835)</f>
        <v>2.26461</v>
      </c>
    </row>
    <row r="647">
      <c r="A647" s="5" t="str">
        <f t="shared" si="5"/>
        <v>P4</v>
      </c>
      <c r="B647" s="7">
        <v>185.0</v>
      </c>
      <c r="C647" s="14" t="s">
        <v>650</v>
      </c>
      <c r="D647" s="15" t="s">
        <v>7</v>
      </c>
      <c r="E647" s="16">
        <v>5.0</v>
      </c>
      <c r="F647" s="5">
        <f>IFERROR(__xludf.DUMMYFUNCTION("""COMPUTED_VALUE"""),1.7326471999986)</f>
        <v>1.7326472</v>
      </c>
    </row>
    <row r="648">
      <c r="A648" s="5" t="str">
        <f t="shared" si="5"/>
        <v>P4</v>
      </c>
      <c r="B648" s="7">
        <v>186.0</v>
      </c>
      <c r="C648" s="14" t="s">
        <v>651</v>
      </c>
      <c r="D648" s="15" t="s">
        <v>7</v>
      </c>
      <c r="E648" s="16">
        <v>5.0</v>
      </c>
      <c r="F648" s="5">
        <f>IFERROR(__xludf.DUMMYFUNCTION("""COMPUTED_VALUE"""),2.12415039999177)</f>
        <v>2.1241504</v>
      </c>
    </row>
    <row r="649">
      <c r="A649" s="5" t="str">
        <f t="shared" si="5"/>
        <v>P4</v>
      </c>
      <c r="B649" s="7">
        <v>187.0</v>
      </c>
      <c r="C649" s="14" t="s">
        <v>652</v>
      </c>
      <c r="D649" s="15" t="s">
        <v>7</v>
      </c>
      <c r="E649" s="16">
        <v>10.0</v>
      </c>
      <c r="F649" s="5">
        <f>IFERROR(__xludf.DUMMYFUNCTION("""COMPUTED_VALUE"""),5.86568050000642)</f>
        <v>5.8656805</v>
      </c>
    </row>
    <row r="650">
      <c r="A650" s="5" t="str">
        <f t="shared" si="5"/>
        <v>P4</v>
      </c>
      <c r="B650" s="7">
        <v>188.0</v>
      </c>
      <c r="C650" s="14" t="s">
        <v>653</v>
      </c>
      <c r="D650" s="15" t="s">
        <v>7</v>
      </c>
      <c r="E650" s="16">
        <v>10.0</v>
      </c>
      <c r="F650" s="5">
        <f>IFERROR(__xludf.DUMMYFUNCTION("""COMPUTED_VALUE"""),1.84943010000279)</f>
        <v>1.8494301</v>
      </c>
    </row>
    <row r="651">
      <c r="A651" s="5" t="str">
        <f t="shared" si="5"/>
        <v>P4</v>
      </c>
      <c r="B651" s="7">
        <v>189.0</v>
      </c>
      <c r="C651" s="14" t="s">
        <v>654</v>
      </c>
      <c r="D651" s="15" t="s">
        <v>7</v>
      </c>
      <c r="E651" s="16">
        <v>10.0</v>
      </c>
      <c r="F651" s="5">
        <f>IFERROR(__xludf.DUMMYFUNCTION("""COMPUTED_VALUE"""),1.48420229999464)</f>
        <v>1.4842023</v>
      </c>
    </row>
    <row r="652">
      <c r="A652" s="5" t="str">
        <f t="shared" si="5"/>
        <v>P4</v>
      </c>
      <c r="B652" s="7">
        <v>190.0</v>
      </c>
      <c r="C652" s="14" t="s">
        <v>655</v>
      </c>
      <c r="D652" s="15" t="s">
        <v>7</v>
      </c>
      <c r="E652" s="16">
        <v>10.0</v>
      </c>
      <c r="F652" s="5">
        <f>IFERROR(__xludf.DUMMYFUNCTION("""COMPUTED_VALUE"""),2.08345279999775)</f>
        <v>2.0834528</v>
      </c>
    </row>
    <row r="653">
      <c r="A653" s="5" t="str">
        <f t="shared" si="5"/>
        <v>P4</v>
      </c>
      <c r="B653" s="7">
        <v>191.0</v>
      </c>
      <c r="C653" s="14" t="s">
        <v>656</v>
      </c>
      <c r="D653" s="15" t="s">
        <v>7</v>
      </c>
      <c r="E653" s="16">
        <v>10.0</v>
      </c>
      <c r="F653" s="5">
        <f>IFERROR(__xludf.DUMMYFUNCTION("""COMPUTED_VALUE"""),2.61830029998964)</f>
        <v>2.6183003</v>
      </c>
    </row>
    <row r="654">
      <c r="A654" s="5" t="str">
        <f t="shared" si="5"/>
        <v>P4</v>
      </c>
      <c r="B654" s="7">
        <v>192.0</v>
      </c>
      <c r="C654" s="14" t="s">
        <v>657</v>
      </c>
      <c r="D654" s="15" t="s">
        <v>7</v>
      </c>
      <c r="E654" s="16">
        <v>10.0</v>
      </c>
      <c r="F654" s="5">
        <f>IFERROR(__xludf.DUMMYFUNCTION("""COMPUTED_VALUE"""),1.47116300000925)</f>
        <v>1.471163</v>
      </c>
    </row>
    <row r="655">
      <c r="A655" s="5" t="str">
        <f t="shared" si="5"/>
        <v>P4</v>
      </c>
      <c r="B655" s="7">
        <v>193.0</v>
      </c>
      <c r="C655" s="14" t="s">
        <v>658</v>
      </c>
      <c r="D655" s="15" t="s">
        <v>7</v>
      </c>
      <c r="E655" s="16">
        <v>5.0</v>
      </c>
      <c r="F655" s="5">
        <f>IFERROR(__xludf.DUMMYFUNCTION("""COMPUTED_VALUE"""),3.09859080000023)</f>
        <v>3.0985908</v>
      </c>
    </row>
    <row r="656">
      <c r="A656" s="5" t="str">
        <f t="shared" si="5"/>
        <v>P4</v>
      </c>
      <c r="B656" s="7">
        <v>194.0</v>
      </c>
      <c r="C656" s="14" t="s">
        <v>659</v>
      </c>
      <c r="D656" s="15" t="s">
        <v>7</v>
      </c>
      <c r="E656" s="16">
        <v>5.0</v>
      </c>
      <c r="F656" s="5">
        <f>IFERROR(__xludf.DUMMYFUNCTION("""COMPUTED_VALUE"""),1.43616430000111)</f>
        <v>1.4361643</v>
      </c>
    </row>
    <row r="657">
      <c r="A657" s="5" t="str">
        <f t="shared" si="5"/>
        <v>P4</v>
      </c>
      <c r="B657" s="7">
        <v>195.0</v>
      </c>
      <c r="C657" s="14" t="s">
        <v>660</v>
      </c>
      <c r="D657" s="15" t="s">
        <v>7</v>
      </c>
      <c r="E657" s="16">
        <v>5.0</v>
      </c>
      <c r="F657" s="5">
        <f>IFERROR(__xludf.DUMMYFUNCTION("""COMPUTED_VALUE"""),1.38044819999777)</f>
        <v>1.3804482</v>
      </c>
    </row>
    <row r="658">
      <c r="A658" s="5" t="str">
        <f t="shared" si="5"/>
        <v>P4</v>
      </c>
      <c r="B658" s="7">
        <v>196.0</v>
      </c>
      <c r="C658" s="14" t="s">
        <v>661</v>
      </c>
      <c r="D658" s="15" t="s">
        <v>7</v>
      </c>
      <c r="E658" s="16">
        <v>10.0</v>
      </c>
      <c r="F658" s="5">
        <f>IFERROR(__xludf.DUMMYFUNCTION("""COMPUTED_VALUE"""),1.46903979999478)</f>
        <v>1.4690398</v>
      </c>
    </row>
    <row r="659">
      <c r="A659" s="5" t="str">
        <f t="shared" si="5"/>
        <v>P4</v>
      </c>
      <c r="B659" s="7">
        <v>197.0</v>
      </c>
      <c r="C659" s="14" t="s">
        <v>662</v>
      </c>
      <c r="D659" s="15" t="s">
        <v>7</v>
      </c>
      <c r="E659" s="16">
        <v>5.0</v>
      </c>
      <c r="F659" s="5">
        <f>IFERROR(__xludf.DUMMYFUNCTION("""COMPUTED_VALUE"""),1.59259380000003)</f>
        <v>1.5925938</v>
      </c>
    </row>
    <row r="660">
      <c r="A660" s="5" t="str">
        <f t="shared" si="5"/>
        <v>P4</v>
      </c>
      <c r="B660" s="7">
        <v>198.0</v>
      </c>
      <c r="C660" s="14" t="s">
        <v>663</v>
      </c>
      <c r="D660" s="15" t="s">
        <v>7</v>
      </c>
      <c r="E660" s="16">
        <v>5.0</v>
      </c>
      <c r="F660" s="5">
        <f>IFERROR(__xludf.DUMMYFUNCTION("""COMPUTED_VALUE"""),1.80300490000809)</f>
        <v>1.8030049</v>
      </c>
    </row>
    <row r="661">
      <c r="A661" s="5" t="str">
        <f t="shared" si="5"/>
        <v>P4</v>
      </c>
      <c r="B661" s="7">
        <v>199.0</v>
      </c>
      <c r="C661" s="14" t="s">
        <v>664</v>
      </c>
      <c r="D661" s="15" t="s">
        <v>7</v>
      </c>
      <c r="E661" s="16">
        <v>5.0</v>
      </c>
      <c r="F661" s="5">
        <f>IFERROR(__xludf.DUMMYFUNCTION("""COMPUTED_VALUE"""),1.82263530000636)</f>
        <v>1.8226353</v>
      </c>
    </row>
    <row r="662">
      <c r="A662" s="5" t="str">
        <f t="shared" ref="A662:A828" si="6">"P5"</f>
        <v>P5</v>
      </c>
      <c r="B662" s="7">
        <v>0.0</v>
      </c>
      <c r="C662" s="17" t="s">
        <v>665</v>
      </c>
      <c r="D662" s="18" t="s">
        <v>7</v>
      </c>
      <c r="E662" s="19">
        <v>5.0</v>
      </c>
      <c r="F662" s="5">
        <f>IFERROR(__xludf.DUMMYFUNCTION("""COMPUTED_VALUE"""),2.26360659999772)</f>
        <v>2.2636066</v>
      </c>
    </row>
    <row r="663">
      <c r="A663" s="5" t="str">
        <f t="shared" si="6"/>
        <v>P5</v>
      </c>
      <c r="B663" s="7">
        <v>1.0</v>
      </c>
      <c r="C663" s="17" t="s">
        <v>666</v>
      </c>
      <c r="D663" s="18" t="s">
        <v>7</v>
      </c>
      <c r="E663" s="19">
        <v>10.0</v>
      </c>
      <c r="F663" s="5">
        <f>IFERROR(__xludf.DUMMYFUNCTION("""COMPUTED_VALUE"""),2.77987289999146)</f>
        <v>2.7798729</v>
      </c>
    </row>
    <row r="664">
      <c r="A664" s="5" t="str">
        <f t="shared" si="6"/>
        <v>P5</v>
      </c>
      <c r="B664" s="7">
        <v>2.0</v>
      </c>
      <c r="C664" s="17" t="s">
        <v>667</v>
      </c>
      <c r="D664" s="18" t="s">
        <v>7</v>
      </c>
      <c r="E664" s="19">
        <v>5.0</v>
      </c>
      <c r="F664" s="5">
        <f>IFERROR(__xludf.DUMMYFUNCTION("""COMPUTED_VALUE"""),2.094963800002)</f>
        <v>2.0949638</v>
      </c>
    </row>
    <row r="665">
      <c r="A665" s="5" t="str">
        <f t="shared" si="6"/>
        <v>P5</v>
      </c>
      <c r="B665" s="7">
        <v>3.0</v>
      </c>
      <c r="C665" s="17" t="s">
        <v>668</v>
      </c>
      <c r="D665" s="18" t="s">
        <v>7</v>
      </c>
      <c r="E665" s="19">
        <v>5.0</v>
      </c>
      <c r="F665" s="5">
        <f>IFERROR(__xludf.DUMMYFUNCTION("""COMPUTED_VALUE"""),1.49517639999976)</f>
        <v>1.4951764</v>
      </c>
    </row>
    <row r="666">
      <c r="A666" s="5" t="str">
        <f t="shared" si="6"/>
        <v>P5</v>
      </c>
      <c r="B666" s="7">
        <v>4.0</v>
      </c>
      <c r="C666" s="17" t="s">
        <v>669</v>
      </c>
      <c r="D666" s="18" t="s">
        <v>7</v>
      </c>
      <c r="E666" s="19">
        <v>10.0</v>
      </c>
      <c r="F666" s="5">
        <f>IFERROR(__xludf.DUMMYFUNCTION("""COMPUTED_VALUE"""),2.02533879999828)</f>
        <v>2.0253388</v>
      </c>
    </row>
    <row r="667">
      <c r="A667" s="5" t="str">
        <f t="shared" si="6"/>
        <v>P5</v>
      </c>
      <c r="B667" s="7">
        <v>5.0</v>
      </c>
      <c r="C667" s="17" t="s">
        <v>670</v>
      </c>
      <c r="D667" s="18" t="s">
        <v>7</v>
      </c>
      <c r="E667" s="19">
        <v>10.0</v>
      </c>
      <c r="F667" s="5">
        <f>IFERROR(__xludf.DUMMYFUNCTION("""COMPUTED_VALUE"""),1.84301949999644)</f>
        <v>1.8430195</v>
      </c>
    </row>
    <row r="668">
      <c r="A668" s="5" t="str">
        <f t="shared" si="6"/>
        <v>P5</v>
      </c>
      <c r="B668" s="7">
        <v>6.0</v>
      </c>
      <c r="C668" s="17" t="s">
        <v>671</v>
      </c>
      <c r="D668" s="18" t="s">
        <v>7</v>
      </c>
      <c r="E668" s="19">
        <v>10.0</v>
      </c>
      <c r="F668" s="5">
        <f>IFERROR(__xludf.DUMMYFUNCTION("""COMPUTED_VALUE"""),1.76070739999704)</f>
        <v>1.7607074</v>
      </c>
    </row>
    <row r="669">
      <c r="A669" s="5" t="str">
        <f t="shared" si="6"/>
        <v>P5</v>
      </c>
      <c r="B669" s="7">
        <v>8.0</v>
      </c>
      <c r="C669" s="17" t="s">
        <v>672</v>
      </c>
      <c r="D669" s="18" t="s">
        <v>7</v>
      </c>
      <c r="E669" s="19">
        <v>10.0</v>
      </c>
      <c r="F669" s="5">
        <f>IFERROR(__xludf.DUMMYFUNCTION("""COMPUTED_VALUE"""),1.81333119999908)</f>
        <v>1.8133312</v>
      </c>
    </row>
    <row r="670">
      <c r="A670" s="5" t="str">
        <f t="shared" si="6"/>
        <v>P5</v>
      </c>
      <c r="B670" s="7">
        <v>9.0</v>
      </c>
      <c r="C670" s="17" t="s">
        <v>673</v>
      </c>
      <c r="D670" s="18" t="s">
        <v>7</v>
      </c>
      <c r="E670" s="19">
        <v>10.0</v>
      </c>
      <c r="F670" s="5">
        <f>IFERROR(__xludf.DUMMYFUNCTION("""COMPUTED_VALUE"""),1.814750000005)</f>
        <v>1.81475</v>
      </c>
    </row>
    <row r="671">
      <c r="A671" s="5" t="str">
        <f t="shared" si="6"/>
        <v>P5</v>
      </c>
      <c r="B671" s="7">
        <v>10.0</v>
      </c>
      <c r="C671" s="17" t="s">
        <v>674</v>
      </c>
      <c r="D671" s="18" t="s">
        <v>7</v>
      </c>
      <c r="E671" s="19">
        <v>5.0</v>
      </c>
      <c r="F671" s="5">
        <f>IFERROR(__xludf.DUMMYFUNCTION("""COMPUTED_VALUE"""),1.44952160000684)</f>
        <v>1.4495216</v>
      </c>
    </row>
    <row r="672">
      <c r="A672" s="5" t="str">
        <f t="shared" si="6"/>
        <v>P5</v>
      </c>
      <c r="B672" s="7">
        <v>11.0</v>
      </c>
      <c r="C672" s="17" t="s">
        <v>675</v>
      </c>
      <c r="D672" s="18" t="s">
        <v>7</v>
      </c>
      <c r="E672" s="19">
        <v>5.0</v>
      </c>
      <c r="F672" s="5">
        <f>IFERROR(__xludf.DUMMYFUNCTION("""COMPUTED_VALUE"""),1.66624669999873)</f>
        <v>1.6662467</v>
      </c>
    </row>
    <row r="673">
      <c r="A673" s="5" t="str">
        <f t="shared" si="6"/>
        <v>P5</v>
      </c>
      <c r="B673" s="7">
        <v>12.0</v>
      </c>
      <c r="C673" s="17" t="s">
        <v>676</v>
      </c>
      <c r="D673" s="18" t="s">
        <v>7</v>
      </c>
      <c r="E673" s="19">
        <v>10.0</v>
      </c>
      <c r="F673" s="5">
        <f>IFERROR(__xludf.DUMMYFUNCTION("""COMPUTED_VALUE"""),1.55567629999131)</f>
        <v>1.5556763</v>
      </c>
    </row>
    <row r="674">
      <c r="A674" s="5" t="str">
        <f t="shared" si="6"/>
        <v>P5</v>
      </c>
      <c r="B674" s="7">
        <v>13.0</v>
      </c>
      <c r="C674" s="17" t="s">
        <v>677</v>
      </c>
      <c r="D674" s="18" t="s">
        <v>7</v>
      </c>
      <c r="E674" s="19">
        <v>10.0</v>
      </c>
      <c r="F674" s="5">
        <f>IFERROR(__xludf.DUMMYFUNCTION("""COMPUTED_VALUE"""),2.00087109999731)</f>
        <v>2.0008711</v>
      </c>
    </row>
    <row r="675">
      <c r="A675" s="5" t="str">
        <f t="shared" si="6"/>
        <v>P5</v>
      </c>
      <c r="B675" s="7">
        <v>14.0</v>
      </c>
      <c r="C675" s="17" t="s">
        <v>678</v>
      </c>
      <c r="D675" s="18" t="s">
        <v>7</v>
      </c>
      <c r="E675" s="19">
        <v>10.0</v>
      </c>
      <c r="F675" s="5">
        <f>IFERROR(__xludf.DUMMYFUNCTION("""COMPUTED_VALUE"""),1.3616289999918)</f>
        <v>1.361629</v>
      </c>
    </row>
    <row r="676">
      <c r="A676" s="5" t="str">
        <f t="shared" si="6"/>
        <v>P5</v>
      </c>
      <c r="B676" s="7">
        <v>16.0</v>
      </c>
      <c r="C676" s="17" t="s">
        <v>679</v>
      </c>
      <c r="D676" s="18" t="s">
        <v>7</v>
      </c>
      <c r="E676" s="19">
        <v>10.0</v>
      </c>
      <c r="F676" s="5">
        <f>IFERROR(__xludf.DUMMYFUNCTION("""COMPUTED_VALUE"""),1.37699400000565)</f>
        <v>1.376994</v>
      </c>
    </row>
    <row r="677">
      <c r="A677" s="5" t="str">
        <f t="shared" si="6"/>
        <v>P5</v>
      </c>
      <c r="B677" s="7">
        <v>18.0</v>
      </c>
      <c r="C677" s="17" t="s">
        <v>680</v>
      </c>
      <c r="D677" s="18" t="s">
        <v>7</v>
      </c>
      <c r="E677" s="19">
        <v>10.0</v>
      </c>
      <c r="F677" s="5">
        <f>IFERROR(__xludf.DUMMYFUNCTION("""COMPUTED_VALUE"""),1.52078359998995)</f>
        <v>1.5207836</v>
      </c>
    </row>
    <row r="678">
      <c r="A678" s="5" t="str">
        <f t="shared" si="6"/>
        <v>P5</v>
      </c>
      <c r="B678" s="7">
        <v>19.0</v>
      </c>
      <c r="C678" s="17" t="s">
        <v>681</v>
      </c>
      <c r="D678" s="18" t="s">
        <v>7</v>
      </c>
      <c r="E678" s="19">
        <v>5.0</v>
      </c>
      <c r="F678" s="5">
        <f>IFERROR(__xludf.DUMMYFUNCTION("""COMPUTED_VALUE"""),1.21291930000006)</f>
        <v>1.2129193</v>
      </c>
    </row>
    <row r="679">
      <c r="A679" s="5" t="str">
        <f t="shared" si="6"/>
        <v>P5</v>
      </c>
      <c r="B679" s="7">
        <v>21.0</v>
      </c>
      <c r="C679" s="17" t="s">
        <v>682</v>
      </c>
      <c r="D679" s="18" t="s">
        <v>7</v>
      </c>
      <c r="E679" s="19">
        <v>5.0</v>
      </c>
      <c r="F679" s="5">
        <f>IFERROR(__xludf.DUMMYFUNCTION("""COMPUTED_VALUE"""),1.39796729999943)</f>
        <v>1.3979673</v>
      </c>
    </row>
    <row r="680">
      <c r="A680" s="5" t="str">
        <f t="shared" si="6"/>
        <v>P5</v>
      </c>
      <c r="B680" s="7">
        <v>22.0</v>
      </c>
      <c r="C680" s="17" t="s">
        <v>683</v>
      </c>
      <c r="D680" s="18" t="s">
        <v>7</v>
      </c>
      <c r="E680" s="19">
        <v>5.0</v>
      </c>
      <c r="F680" s="5">
        <f>IFERROR(__xludf.DUMMYFUNCTION("""COMPUTED_VALUE"""),1.75346079999872)</f>
        <v>1.7534608</v>
      </c>
    </row>
    <row r="681">
      <c r="A681" s="5" t="str">
        <f t="shared" si="6"/>
        <v>P5</v>
      </c>
      <c r="B681" s="7">
        <v>23.0</v>
      </c>
      <c r="C681" s="17" t="s">
        <v>684</v>
      </c>
      <c r="D681" s="18" t="s">
        <v>7</v>
      </c>
      <c r="E681" s="19">
        <v>10.0</v>
      </c>
      <c r="F681" s="5">
        <f>IFERROR(__xludf.DUMMYFUNCTION("""COMPUTED_VALUE"""),1.90569339999638)</f>
        <v>1.9056934</v>
      </c>
    </row>
    <row r="682">
      <c r="A682" s="5" t="str">
        <f t="shared" si="6"/>
        <v>P5</v>
      </c>
      <c r="B682" s="7">
        <v>25.0</v>
      </c>
      <c r="C682" s="17" t="s">
        <v>685</v>
      </c>
      <c r="D682" s="18" t="s">
        <v>7</v>
      </c>
      <c r="E682" s="19">
        <v>10.0</v>
      </c>
      <c r="F682" s="5">
        <f>IFERROR(__xludf.DUMMYFUNCTION("""COMPUTED_VALUE"""),1.20985080000536)</f>
        <v>1.2098508</v>
      </c>
    </row>
    <row r="683">
      <c r="A683" s="5" t="str">
        <f t="shared" si="6"/>
        <v>P5</v>
      </c>
      <c r="B683" s="7">
        <v>26.0</v>
      </c>
      <c r="C683" s="17" t="s">
        <v>686</v>
      </c>
      <c r="D683" s="18" t="s">
        <v>7</v>
      </c>
      <c r="E683" s="19">
        <v>10.0</v>
      </c>
      <c r="F683" s="5">
        <f>IFERROR(__xludf.DUMMYFUNCTION("""COMPUTED_VALUE"""),1.75280870001006)</f>
        <v>1.7528087</v>
      </c>
    </row>
    <row r="684">
      <c r="A684" s="5" t="str">
        <f t="shared" si="6"/>
        <v>P5</v>
      </c>
      <c r="B684" s="7">
        <v>27.0</v>
      </c>
      <c r="C684" s="17" t="s">
        <v>687</v>
      </c>
      <c r="D684" s="18" t="s">
        <v>7</v>
      </c>
      <c r="E684" s="19">
        <v>5.0</v>
      </c>
      <c r="F684" s="5">
        <f>IFERROR(__xludf.DUMMYFUNCTION("""COMPUTED_VALUE"""),1.7355649999954)</f>
        <v>1.735565</v>
      </c>
    </row>
    <row r="685">
      <c r="A685" s="5" t="str">
        <f t="shared" si="6"/>
        <v>P5</v>
      </c>
      <c r="B685" s="7">
        <v>28.0</v>
      </c>
      <c r="C685" s="17" t="s">
        <v>688</v>
      </c>
      <c r="D685" s="18" t="s">
        <v>7</v>
      </c>
      <c r="E685" s="19">
        <v>5.0</v>
      </c>
      <c r="F685" s="5">
        <f>IFERROR(__xludf.DUMMYFUNCTION("""COMPUTED_VALUE"""),2.61052750000089)</f>
        <v>2.6105275</v>
      </c>
    </row>
    <row r="686">
      <c r="A686" s="5" t="str">
        <f t="shared" si="6"/>
        <v>P5</v>
      </c>
      <c r="B686" s="7">
        <v>29.0</v>
      </c>
      <c r="C686" s="17" t="s">
        <v>689</v>
      </c>
      <c r="D686" s="18" t="s">
        <v>7</v>
      </c>
      <c r="E686" s="19">
        <v>5.0</v>
      </c>
      <c r="F686" s="5">
        <f>IFERROR(__xludf.DUMMYFUNCTION("""COMPUTED_VALUE"""),1.51638400000229)</f>
        <v>1.516384</v>
      </c>
    </row>
    <row r="687">
      <c r="A687" s="5" t="str">
        <f t="shared" si="6"/>
        <v>P5</v>
      </c>
      <c r="B687" s="7">
        <v>30.0</v>
      </c>
      <c r="C687" s="17" t="s">
        <v>690</v>
      </c>
      <c r="D687" s="18" t="s">
        <v>7</v>
      </c>
      <c r="E687" s="19">
        <v>5.0</v>
      </c>
      <c r="F687" s="5">
        <f>IFERROR(__xludf.DUMMYFUNCTION("""COMPUTED_VALUE"""),1.49893129999691)</f>
        <v>1.4989313</v>
      </c>
    </row>
    <row r="688">
      <c r="A688" s="5" t="str">
        <f t="shared" si="6"/>
        <v>P5</v>
      </c>
      <c r="B688" s="7">
        <v>32.0</v>
      </c>
      <c r="C688" s="17" t="s">
        <v>691</v>
      </c>
      <c r="D688" s="18" t="s">
        <v>7</v>
      </c>
      <c r="E688" s="19">
        <v>5.0</v>
      </c>
      <c r="F688" s="5">
        <f>IFERROR(__xludf.DUMMYFUNCTION("""COMPUTED_VALUE"""),1.29481439999653)</f>
        <v>1.2948144</v>
      </c>
    </row>
    <row r="689">
      <c r="A689" s="5" t="str">
        <f t="shared" si="6"/>
        <v>P5</v>
      </c>
      <c r="B689" s="7">
        <v>34.0</v>
      </c>
      <c r="C689" s="17" t="s">
        <v>692</v>
      </c>
      <c r="D689" s="18" t="s">
        <v>7</v>
      </c>
      <c r="E689" s="19">
        <v>5.0</v>
      </c>
      <c r="F689" s="5">
        <f>IFERROR(__xludf.DUMMYFUNCTION("""COMPUTED_VALUE"""),1.08587680000346)</f>
        <v>1.0858768</v>
      </c>
    </row>
    <row r="690">
      <c r="A690" s="5" t="str">
        <f t="shared" si="6"/>
        <v>P5</v>
      </c>
      <c r="B690" s="7">
        <v>35.0</v>
      </c>
      <c r="C690" s="17" t="s">
        <v>693</v>
      </c>
      <c r="D690" s="18" t="s">
        <v>7</v>
      </c>
      <c r="E690" s="19">
        <v>10.0</v>
      </c>
      <c r="F690" s="5">
        <f>IFERROR(__xludf.DUMMYFUNCTION("""COMPUTED_VALUE"""),3.24052199999277)</f>
        <v>3.240522</v>
      </c>
    </row>
    <row r="691">
      <c r="A691" s="5" t="str">
        <f t="shared" si="6"/>
        <v>P5</v>
      </c>
      <c r="B691" s="7">
        <v>36.0</v>
      </c>
      <c r="C691" s="17" t="s">
        <v>694</v>
      </c>
      <c r="D691" s="18" t="s">
        <v>7</v>
      </c>
      <c r="E691" s="19">
        <v>5.0</v>
      </c>
      <c r="F691" s="5">
        <f>IFERROR(__xludf.DUMMYFUNCTION("""COMPUTED_VALUE"""),2.13049579999642)</f>
        <v>2.1304958</v>
      </c>
    </row>
    <row r="692">
      <c r="A692" s="5" t="str">
        <f t="shared" si="6"/>
        <v>P5</v>
      </c>
      <c r="B692" s="7">
        <v>38.0</v>
      </c>
      <c r="C692" s="17" t="s">
        <v>695</v>
      </c>
      <c r="D692" s="18" t="s">
        <v>7</v>
      </c>
      <c r="E692" s="19">
        <v>5.0</v>
      </c>
      <c r="F692" s="5">
        <f>IFERROR(__xludf.DUMMYFUNCTION("""COMPUTED_VALUE"""),2.30121999999391)</f>
        <v>2.30122</v>
      </c>
    </row>
    <row r="693">
      <c r="A693" s="5" t="str">
        <f t="shared" si="6"/>
        <v>P5</v>
      </c>
      <c r="B693" s="7">
        <v>39.0</v>
      </c>
      <c r="C693" s="17" t="s">
        <v>696</v>
      </c>
      <c r="D693" s="18" t="s">
        <v>7</v>
      </c>
      <c r="E693" s="19">
        <v>10.0</v>
      </c>
      <c r="F693" s="5">
        <f>IFERROR(__xludf.DUMMYFUNCTION("""COMPUTED_VALUE"""),2.0538646000059)</f>
        <v>2.0538646</v>
      </c>
    </row>
    <row r="694">
      <c r="A694" s="5" t="str">
        <f t="shared" si="6"/>
        <v>P5</v>
      </c>
      <c r="B694" s="7">
        <v>40.0</v>
      </c>
      <c r="C694" s="17" t="s">
        <v>697</v>
      </c>
      <c r="D694" s="18" t="s">
        <v>7</v>
      </c>
      <c r="E694" s="19">
        <v>10.0</v>
      </c>
      <c r="F694" s="5">
        <f>IFERROR(__xludf.DUMMYFUNCTION("""COMPUTED_VALUE"""),2.12373859999934)</f>
        <v>2.1237386</v>
      </c>
    </row>
    <row r="695">
      <c r="A695" s="5" t="str">
        <f t="shared" si="6"/>
        <v>P5</v>
      </c>
      <c r="B695" s="7">
        <v>41.0</v>
      </c>
      <c r="C695" s="17" t="s">
        <v>698</v>
      </c>
      <c r="D695" s="18" t="s">
        <v>7</v>
      </c>
      <c r="E695" s="19">
        <v>5.0</v>
      </c>
      <c r="F695" s="5">
        <f>IFERROR(__xludf.DUMMYFUNCTION("""COMPUTED_VALUE"""),1.71128280000993)</f>
        <v>1.7112828</v>
      </c>
    </row>
    <row r="696">
      <c r="A696" s="5" t="str">
        <f t="shared" si="6"/>
        <v>P5</v>
      </c>
      <c r="B696" s="7">
        <v>42.0</v>
      </c>
      <c r="C696" s="17" t="s">
        <v>699</v>
      </c>
      <c r="D696" s="18" t="s">
        <v>7</v>
      </c>
      <c r="E696" s="19">
        <v>10.0</v>
      </c>
      <c r="F696" s="5">
        <f>IFERROR(__xludf.DUMMYFUNCTION("""COMPUTED_VALUE"""),2.5817407999857)</f>
        <v>2.5817408</v>
      </c>
    </row>
    <row r="697">
      <c r="A697" s="5" t="str">
        <f t="shared" si="6"/>
        <v>P5</v>
      </c>
      <c r="B697" s="7">
        <v>43.0</v>
      </c>
      <c r="C697" s="17" t="s">
        <v>700</v>
      </c>
      <c r="D697" s="18" t="s">
        <v>7</v>
      </c>
      <c r="E697" s="19">
        <v>10.0</v>
      </c>
      <c r="F697" s="5">
        <f>IFERROR(__xludf.DUMMYFUNCTION("""COMPUTED_VALUE"""),1.63379550000536)</f>
        <v>1.6337955</v>
      </c>
    </row>
    <row r="698">
      <c r="A698" s="5" t="str">
        <f t="shared" si="6"/>
        <v>P5</v>
      </c>
      <c r="B698" s="7">
        <v>45.0</v>
      </c>
      <c r="C698" s="17" t="s">
        <v>701</v>
      </c>
      <c r="D698" s="18" t="s">
        <v>7</v>
      </c>
      <c r="E698" s="19">
        <v>5.0</v>
      </c>
      <c r="F698" s="5">
        <f>IFERROR(__xludf.DUMMYFUNCTION("""COMPUTED_VALUE"""),1.1637805999926)</f>
        <v>1.1637806</v>
      </c>
    </row>
    <row r="699">
      <c r="A699" s="5" t="str">
        <f t="shared" si="6"/>
        <v>P5</v>
      </c>
      <c r="B699" s="7">
        <v>46.0</v>
      </c>
      <c r="C699" s="17" t="s">
        <v>702</v>
      </c>
      <c r="D699" s="18" t="s">
        <v>7</v>
      </c>
      <c r="E699" s="19">
        <v>10.0</v>
      </c>
      <c r="F699" s="5">
        <f>IFERROR(__xludf.DUMMYFUNCTION("""COMPUTED_VALUE"""),1.61290720000397)</f>
        <v>1.6129072</v>
      </c>
    </row>
    <row r="700">
      <c r="A700" s="5" t="str">
        <f t="shared" si="6"/>
        <v>P5</v>
      </c>
      <c r="B700" s="7">
        <v>47.0</v>
      </c>
      <c r="C700" s="17" t="s">
        <v>703</v>
      </c>
      <c r="D700" s="18" t="s">
        <v>7</v>
      </c>
      <c r="E700" s="19">
        <v>5.0</v>
      </c>
      <c r="F700" s="5">
        <f>IFERROR(__xludf.DUMMYFUNCTION("""COMPUTED_VALUE"""),1.37868920000619)</f>
        <v>1.3786892</v>
      </c>
    </row>
    <row r="701">
      <c r="A701" s="5" t="str">
        <f t="shared" si="6"/>
        <v>P5</v>
      </c>
      <c r="B701" s="7">
        <v>48.0</v>
      </c>
      <c r="C701" s="17" t="s">
        <v>704</v>
      </c>
      <c r="D701" s="18" t="s">
        <v>7</v>
      </c>
      <c r="E701" s="19">
        <v>5.0</v>
      </c>
      <c r="F701" s="5">
        <f>IFERROR(__xludf.DUMMYFUNCTION("""COMPUTED_VALUE"""),1.31618470000103)</f>
        <v>1.3161847</v>
      </c>
    </row>
    <row r="702">
      <c r="A702" s="5" t="str">
        <f t="shared" si="6"/>
        <v>P5</v>
      </c>
      <c r="B702" s="7">
        <v>49.0</v>
      </c>
      <c r="C702" s="17" t="s">
        <v>705</v>
      </c>
      <c r="D702" s="18" t="s">
        <v>7</v>
      </c>
      <c r="E702" s="19">
        <v>10.0</v>
      </c>
      <c r="F702" s="5">
        <f>IFERROR(__xludf.DUMMYFUNCTION("""COMPUTED_VALUE"""),1.37672889999521)</f>
        <v>1.3767289</v>
      </c>
    </row>
    <row r="703">
      <c r="A703" s="5" t="str">
        <f t="shared" si="6"/>
        <v>P5</v>
      </c>
      <c r="B703" s="7">
        <v>50.0</v>
      </c>
      <c r="C703" s="17" t="s">
        <v>706</v>
      </c>
      <c r="D703" s="18" t="s">
        <v>7</v>
      </c>
      <c r="E703" s="19">
        <v>5.0</v>
      </c>
      <c r="F703" s="5">
        <f>IFERROR(__xludf.DUMMYFUNCTION("""COMPUTED_VALUE"""),1.48145150000345)</f>
        <v>1.4814515</v>
      </c>
    </row>
    <row r="704">
      <c r="A704" s="5" t="str">
        <f t="shared" si="6"/>
        <v>P5</v>
      </c>
      <c r="B704" s="7">
        <v>53.0</v>
      </c>
      <c r="C704" s="17" t="s">
        <v>707</v>
      </c>
      <c r="D704" s="18" t="s">
        <v>7</v>
      </c>
      <c r="E704" s="19">
        <v>10.0</v>
      </c>
      <c r="F704" s="5">
        <f>IFERROR(__xludf.DUMMYFUNCTION("""COMPUTED_VALUE"""),1.35208379999676)</f>
        <v>1.3520838</v>
      </c>
    </row>
    <row r="705">
      <c r="A705" s="5" t="str">
        <f t="shared" si="6"/>
        <v>P5</v>
      </c>
      <c r="B705" s="7">
        <v>55.0</v>
      </c>
      <c r="C705" s="17" t="s">
        <v>708</v>
      </c>
      <c r="D705" s="18" t="s">
        <v>7</v>
      </c>
      <c r="E705" s="19">
        <v>10.0</v>
      </c>
      <c r="F705" s="5">
        <f>IFERROR(__xludf.DUMMYFUNCTION("""COMPUTED_VALUE"""),1.4602845999907)</f>
        <v>1.4602846</v>
      </c>
    </row>
    <row r="706">
      <c r="A706" s="5" t="str">
        <f t="shared" si="6"/>
        <v>P5</v>
      </c>
      <c r="B706" s="7">
        <v>56.0</v>
      </c>
      <c r="C706" s="17" t="s">
        <v>709</v>
      </c>
      <c r="D706" s="18" t="s">
        <v>7</v>
      </c>
      <c r="E706" s="19">
        <v>10.0</v>
      </c>
      <c r="F706" s="5">
        <f>IFERROR(__xludf.DUMMYFUNCTION("""COMPUTED_VALUE"""),2.02688399999169)</f>
        <v>2.026884</v>
      </c>
    </row>
    <row r="707">
      <c r="A707" s="5" t="str">
        <f t="shared" si="6"/>
        <v>P5</v>
      </c>
      <c r="B707" s="7">
        <v>57.0</v>
      </c>
      <c r="C707" s="17" t="s">
        <v>710</v>
      </c>
      <c r="D707" s="18" t="s">
        <v>7</v>
      </c>
      <c r="E707" s="19">
        <v>10.0</v>
      </c>
      <c r="F707" s="5">
        <f>IFERROR(__xludf.DUMMYFUNCTION("""COMPUTED_VALUE"""),2.05735550000099)</f>
        <v>2.0573555</v>
      </c>
    </row>
    <row r="708">
      <c r="A708" s="5" t="str">
        <f t="shared" si="6"/>
        <v>P5</v>
      </c>
      <c r="B708" s="7">
        <v>58.0</v>
      </c>
      <c r="C708" s="17" t="s">
        <v>711</v>
      </c>
      <c r="D708" s="18" t="s">
        <v>7</v>
      </c>
      <c r="E708" s="19">
        <v>10.0</v>
      </c>
      <c r="F708" s="5">
        <f>IFERROR(__xludf.DUMMYFUNCTION("""COMPUTED_VALUE"""),1.95110849999764)</f>
        <v>1.9511085</v>
      </c>
    </row>
    <row r="709">
      <c r="A709" s="5" t="str">
        <f t="shared" si="6"/>
        <v>P5</v>
      </c>
      <c r="B709" s="7">
        <v>59.0</v>
      </c>
      <c r="C709" s="17" t="s">
        <v>712</v>
      </c>
      <c r="D709" s="18" t="s">
        <v>7</v>
      </c>
      <c r="E709" s="19">
        <v>5.0</v>
      </c>
      <c r="F709" s="5">
        <f>IFERROR(__xludf.DUMMYFUNCTION("""COMPUTED_VALUE"""),1.85266040000715)</f>
        <v>1.8526604</v>
      </c>
    </row>
    <row r="710">
      <c r="A710" s="5" t="str">
        <f t="shared" si="6"/>
        <v>P5</v>
      </c>
      <c r="B710" s="7">
        <v>60.0</v>
      </c>
      <c r="C710" s="17" t="s">
        <v>713</v>
      </c>
      <c r="D710" s="18" t="s">
        <v>7</v>
      </c>
      <c r="E710" s="19">
        <v>10.0</v>
      </c>
      <c r="F710" s="5">
        <f>IFERROR(__xludf.DUMMYFUNCTION("""COMPUTED_VALUE"""),2.53172549999726)</f>
        <v>2.5317255</v>
      </c>
    </row>
    <row r="711">
      <c r="A711" s="5" t="str">
        <f t="shared" si="6"/>
        <v>P5</v>
      </c>
      <c r="B711" s="7">
        <v>62.0</v>
      </c>
      <c r="C711" s="17" t="s">
        <v>714</v>
      </c>
      <c r="D711" s="18" t="s">
        <v>7</v>
      </c>
      <c r="E711" s="19">
        <v>5.0</v>
      </c>
      <c r="F711" s="5">
        <f>IFERROR(__xludf.DUMMYFUNCTION("""COMPUTED_VALUE"""),1.58166599999822)</f>
        <v>1.581666</v>
      </c>
    </row>
    <row r="712">
      <c r="A712" s="5" t="str">
        <f t="shared" si="6"/>
        <v>P5</v>
      </c>
      <c r="B712" s="7">
        <v>63.0</v>
      </c>
      <c r="C712" s="17" t="s">
        <v>715</v>
      </c>
      <c r="D712" s="18" t="s">
        <v>7</v>
      </c>
      <c r="E712" s="19">
        <v>10.0</v>
      </c>
      <c r="F712" s="5">
        <f>IFERROR(__xludf.DUMMYFUNCTION("""COMPUTED_VALUE"""),1.72131199999421)</f>
        <v>1.721312</v>
      </c>
    </row>
    <row r="713">
      <c r="A713" s="5" t="str">
        <f t="shared" si="6"/>
        <v>P5</v>
      </c>
      <c r="B713" s="7">
        <v>64.0</v>
      </c>
      <c r="C713" s="17" t="s">
        <v>716</v>
      </c>
      <c r="D713" s="18" t="s">
        <v>7</v>
      </c>
      <c r="E713" s="19">
        <v>10.0</v>
      </c>
      <c r="F713" s="5">
        <f>IFERROR(__xludf.DUMMYFUNCTION("""COMPUTED_VALUE"""),1.79911249999713)</f>
        <v>1.7991125</v>
      </c>
    </row>
    <row r="714">
      <c r="A714" s="5" t="str">
        <f t="shared" si="6"/>
        <v>P5</v>
      </c>
      <c r="B714" s="7">
        <v>65.0</v>
      </c>
      <c r="C714" s="17" t="s">
        <v>717</v>
      </c>
      <c r="D714" s="18" t="s">
        <v>7</v>
      </c>
      <c r="E714" s="19">
        <v>5.0</v>
      </c>
      <c r="F714" s="5">
        <f>IFERROR(__xludf.DUMMYFUNCTION("""COMPUTED_VALUE"""),1.31906389999494)</f>
        <v>1.3190639</v>
      </c>
    </row>
    <row r="715">
      <c r="A715" s="5" t="str">
        <f t="shared" si="6"/>
        <v>P5</v>
      </c>
      <c r="B715" s="7">
        <v>66.0</v>
      </c>
      <c r="C715" s="17" t="s">
        <v>718</v>
      </c>
      <c r="D715" s="18" t="s">
        <v>7</v>
      </c>
      <c r="E715" s="19">
        <v>5.0</v>
      </c>
      <c r="F715" s="5">
        <f>IFERROR(__xludf.DUMMYFUNCTION("""COMPUTED_VALUE"""),2.78118799999356)</f>
        <v>2.781188</v>
      </c>
    </row>
    <row r="716">
      <c r="A716" s="5" t="str">
        <f t="shared" si="6"/>
        <v>P5</v>
      </c>
      <c r="B716" s="7">
        <v>67.0</v>
      </c>
      <c r="C716" s="17" t="s">
        <v>719</v>
      </c>
      <c r="D716" s="18" t="s">
        <v>7</v>
      </c>
      <c r="E716" s="19">
        <v>10.0</v>
      </c>
      <c r="F716" s="5">
        <f>IFERROR(__xludf.DUMMYFUNCTION("""COMPUTED_VALUE"""),1.26546100000268)</f>
        <v>1.265461</v>
      </c>
    </row>
    <row r="717">
      <c r="A717" s="5" t="str">
        <f t="shared" si="6"/>
        <v>P5</v>
      </c>
      <c r="B717" s="7">
        <v>68.0</v>
      </c>
      <c r="C717" s="17" t="s">
        <v>720</v>
      </c>
      <c r="D717" s="18" t="s">
        <v>7</v>
      </c>
      <c r="E717" s="19">
        <v>10.0</v>
      </c>
      <c r="F717" s="5">
        <f>IFERROR(__xludf.DUMMYFUNCTION("""COMPUTED_VALUE"""),2.37551540001004)</f>
        <v>2.3755154</v>
      </c>
    </row>
    <row r="718">
      <c r="A718" s="5" t="str">
        <f t="shared" si="6"/>
        <v>P5</v>
      </c>
      <c r="B718" s="7">
        <v>71.0</v>
      </c>
      <c r="C718" s="17" t="s">
        <v>721</v>
      </c>
      <c r="D718" s="18" t="s">
        <v>7</v>
      </c>
      <c r="E718" s="19">
        <v>10.0</v>
      </c>
      <c r="F718" s="5">
        <f>IFERROR(__xludf.DUMMYFUNCTION("""COMPUTED_VALUE"""),1.60720009999931)</f>
        <v>1.6072001</v>
      </c>
    </row>
    <row r="719">
      <c r="A719" s="5" t="str">
        <f t="shared" si="6"/>
        <v>P5</v>
      </c>
      <c r="B719" s="7">
        <v>72.0</v>
      </c>
      <c r="C719" s="17" t="s">
        <v>722</v>
      </c>
      <c r="D719" s="18" t="s">
        <v>7</v>
      </c>
      <c r="E719" s="19">
        <v>5.0</v>
      </c>
      <c r="F719" s="5">
        <f>IFERROR(__xludf.DUMMYFUNCTION("""COMPUTED_VALUE"""),1.03134480000881)</f>
        <v>1.0313448</v>
      </c>
    </row>
    <row r="720">
      <c r="A720" s="5" t="str">
        <f t="shared" si="6"/>
        <v>P5</v>
      </c>
      <c r="B720" s="7">
        <v>73.0</v>
      </c>
      <c r="C720" s="17" t="s">
        <v>723</v>
      </c>
      <c r="D720" s="18" t="s">
        <v>7</v>
      </c>
      <c r="E720" s="19">
        <v>5.0</v>
      </c>
      <c r="F720" s="5">
        <f>IFERROR(__xludf.DUMMYFUNCTION("""COMPUTED_VALUE"""),1.55113659999915)</f>
        <v>1.5511366</v>
      </c>
    </row>
    <row r="721">
      <c r="A721" s="5" t="str">
        <f t="shared" si="6"/>
        <v>P5</v>
      </c>
      <c r="B721" s="7">
        <v>74.0</v>
      </c>
      <c r="C721" s="17" t="s">
        <v>724</v>
      </c>
      <c r="D721" s="18" t="s">
        <v>7</v>
      </c>
      <c r="E721" s="19">
        <v>5.0</v>
      </c>
      <c r="F721" s="5">
        <f>IFERROR(__xludf.DUMMYFUNCTION("""COMPUTED_VALUE"""),1.98295189999043)</f>
        <v>1.9829519</v>
      </c>
    </row>
    <row r="722">
      <c r="A722" s="5" t="str">
        <f t="shared" si="6"/>
        <v>P5</v>
      </c>
      <c r="B722" s="7">
        <v>75.0</v>
      </c>
      <c r="C722" s="17" t="s">
        <v>725</v>
      </c>
      <c r="D722" s="18" t="s">
        <v>7</v>
      </c>
      <c r="E722" s="19">
        <v>10.0</v>
      </c>
      <c r="F722" s="5">
        <f>IFERROR(__xludf.DUMMYFUNCTION("""COMPUTED_VALUE"""),1.55690809999941)</f>
        <v>1.5569081</v>
      </c>
    </row>
    <row r="723">
      <c r="A723" s="5" t="str">
        <f t="shared" si="6"/>
        <v>P5</v>
      </c>
      <c r="B723" s="7">
        <v>76.0</v>
      </c>
      <c r="C723" s="17" t="s">
        <v>726</v>
      </c>
      <c r="D723" s="18" t="s">
        <v>7</v>
      </c>
      <c r="E723" s="19">
        <v>10.0</v>
      </c>
      <c r="F723" s="5">
        <f>IFERROR(__xludf.DUMMYFUNCTION("""COMPUTED_VALUE"""),1.76462159999937)</f>
        <v>1.7646216</v>
      </c>
    </row>
    <row r="724">
      <c r="A724" s="5" t="str">
        <f t="shared" si="6"/>
        <v>P5</v>
      </c>
      <c r="B724" s="7">
        <v>77.0</v>
      </c>
      <c r="C724" s="17" t="s">
        <v>727</v>
      </c>
      <c r="D724" s="18" t="s">
        <v>7</v>
      </c>
      <c r="E724" s="19">
        <v>10.0</v>
      </c>
      <c r="F724" s="5">
        <f>IFERROR(__xludf.DUMMYFUNCTION("""COMPUTED_VALUE"""),1.34107719999155)</f>
        <v>1.3410772</v>
      </c>
    </row>
    <row r="725">
      <c r="A725" s="5" t="str">
        <f t="shared" si="6"/>
        <v>P5</v>
      </c>
      <c r="B725" s="7">
        <v>78.0</v>
      </c>
      <c r="C725" s="17" t="s">
        <v>728</v>
      </c>
      <c r="D725" s="18" t="s">
        <v>7</v>
      </c>
      <c r="E725" s="19">
        <v>10.0</v>
      </c>
      <c r="F725" s="5">
        <f>IFERROR(__xludf.DUMMYFUNCTION("""COMPUTED_VALUE"""),1.2260452999908)</f>
        <v>1.2260453</v>
      </c>
    </row>
    <row r="726">
      <c r="A726" s="5" t="str">
        <f t="shared" si="6"/>
        <v>P5</v>
      </c>
      <c r="B726" s="7">
        <v>79.0</v>
      </c>
      <c r="C726" s="17" t="s">
        <v>729</v>
      </c>
      <c r="D726" s="18" t="s">
        <v>7</v>
      </c>
      <c r="E726" s="19">
        <v>5.0</v>
      </c>
      <c r="F726" s="5">
        <f>IFERROR(__xludf.DUMMYFUNCTION("""COMPUTED_VALUE"""),1.54983289999654)</f>
        <v>1.5498329</v>
      </c>
    </row>
    <row r="727">
      <c r="A727" s="5" t="str">
        <f t="shared" si="6"/>
        <v>P5</v>
      </c>
      <c r="B727" s="7">
        <v>81.0</v>
      </c>
      <c r="C727" s="17" t="s">
        <v>730</v>
      </c>
      <c r="D727" s="18" t="s">
        <v>7</v>
      </c>
      <c r="E727" s="19">
        <v>10.0</v>
      </c>
      <c r="F727" s="5">
        <f>IFERROR(__xludf.DUMMYFUNCTION("""COMPUTED_VALUE"""),1.30782590000308)</f>
        <v>1.3078259</v>
      </c>
    </row>
    <row r="728">
      <c r="A728" s="5" t="str">
        <f t="shared" si="6"/>
        <v>P5</v>
      </c>
      <c r="B728" s="7">
        <v>82.0</v>
      </c>
      <c r="C728" s="17" t="s">
        <v>731</v>
      </c>
      <c r="D728" s="18" t="s">
        <v>7</v>
      </c>
      <c r="E728" s="19">
        <v>10.0</v>
      </c>
      <c r="F728" s="5">
        <f>IFERROR(__xludf.DUMMYFUNCTION("""COMPUTED_VALUE"""),2.79072950000409)</f>
        <v>2.7907295</v>
      </c>
    </row>
    <row r="729">
      <c r="A729" s="5" t="str">
        <f t="shared" si="6"/>
        <v>P5</v>
      </c>
      <c r="B729" s="7">
        <v>83.0</v>
      </c>
      <c r="C729" s="17" t="s">
        <v>732</v>
      </c>
      <c r="D729" s="18" t="s">
        <v>7</v>
      </c>
      <c r="E729" s="19">
        <v>10.0</v>
      </c>
      <c r="F729" s="5">
        <f>IFERROR(__xludf.DUMMYFUNCTION("""COMPUTED_VALUE"""),2.39286279999942)</f>
        <v>2.3928628</v>
      </c>
    </row>
    <row r="730">
      <c r="A730" s="5" t="str">
        <f t="shared" si="6"/>
        <v>P5</v>
      </c>
      <c r="B730" s="7">
        <v>84.0</v>
      </c>
      <c r="C730" s="17" t="s">
        <v>733</v>
      </c>
      <c r="D730" s="18" t="s">
        <v>7</v>
      </c>
      <c r="E730" s="19">
        <v>5.0</v>
      </c>
      <c r="F730" s="5">
        <f>IFERROR(__xludf.DUMMYFUNCTION("""COMPUTED_VALUE"""),2.01960489999328)</f>
        <v>2.0196049</v>
      </c>
    </row>
    <row r="731">
      <c r="A731" s="5" t="str">
        <f t="shared" si="6"/>
        <v>P5</v>
      </c>
      <c r="B731" s="7">
        <v>85.0</v>
      </c>
      <c r="C731" s="17" t="s">
        <v>734</v>
      </c>
      <c r="D731" s="18" t="s">
        <v>7</v>
      </c>
      <c r="E731" s="19">
        <v>5.0</v>
      </c>
      <c r="F731" s="5">
        <f>IFERROR(__xludf.DUMMYFUNCTION("""COMPUTED_VALUE"""),2.18203780001204)</f>
        <v>2.1820378</v>
      </c>
    </row>
    <row r="732">
      <c r="A732" s="5" t="str">
        <f t="shared" si="6"/>
        <v>P5</v>
      </c>
      <c r="B732" s="7">
        <v>86.0</v>
      </c>
      <c r="C732" s="17" t="s">
        <v>735</v>
      </c>
      <c r="D732" s="18" t="s">
        <v>7</v>
      </c>
      <c r="E732" s="19">
        <v>10.0</v>
      </c>
      <c r="F732" s="5">
        <f>IFERROR(__xludf.DUMMYFUNCTION("""COMPUTED_VALUE"""),2.95930229999066)</f>
        <v>2.9593023</v>
      </c>
    </row>
    <row r="733">
      <c r="A733" s="5" t="str">
        <f t="shared" si="6"/>
        <v>P5</v>
      </c>
      <c r="B733" s="7">
        <v>87.0</v>
      </c>
      <c r="C733" s="17" t="s">
        <v>736</v>
      </c>
      <c r="D733" s="18" t="s">
        <v>7</v>
      </c>
      <c r="E733" s="19">
        <v>10.0</v>
      </c>
      <c r="F733" s="5">
        <f>IFERROR(__xludf.DUMMYFUNCTION("""COMPUTED_VALUE"""),1.67428530000324)</f>
        <v>1.6742853</v>
      </c>
    </row>
    <row r="734">
      <c r="A734" s="5" t="str">
        <f t="shared" si="6"/>
        <v>P5</v>
      </c>
      <c r="B734" s="7">
        <v>88.0</v>
      </c>
      <c r="C734" s="17" t="s">
        <v>737</v>
      </c>
      <c r="D734" s="18" t="s">
        <v>7</v>
      </c>
      <c r="E734" s="19">
        <v>10.0</v>
      </c>
      <c r="F734" s="5">
        <f>IFERROR(__xludf.DUMMYFUNCTION("""COMPUTED_VALUE"""),2.47582859999965)</f>
        <v>2.4758286</v>
      </c>
    </row>
    <row r="735">
      <c r="A735" s="5" t="str">
        <f t="shared" si="6"/>
        <v>P5</v>
      </c>
      <c r="B735" s="7">
        <v>89.0</v>
      </c>
      <c r="C735" s="17" t="s">
        <v>738</v>
      </c>
      <c r="D735" s="18" t="s">
        <v>7</v>
      </c>
      <c r="E735" s="19">
        <v>10.0</v>
      </c>
      <c r="F735" s="5">
        <f>IFERROR(__xludf.DUMMYFUNCTION("""COMPUTED_VALUE"""),1.49254440001095)</f>
        <v>1.4925444</v>
      </c>
    </row>
    <row r="736">
      <c r="A736" s="5" t="str">
        <f t="shared" si="6"/>
        <v>P5</v>
      </c>
      <c r="B736" s="7">
        <v>90.0</v>
      </c>
      <c r="C736" s="17" t="s">
        <v>739</v>
      </c>
      <c r="D736" s="18" t="s">
        <v>7</v>
      </c>
      <c r="E736" s="19">
        <v>10.0</v>
      </c>
      <c r="F736" s="5">
        <f>IFERROR(__xludf.DUMMYFUNCTION("""COMPUTED_VALUE"""),1.62592190000577)</f>
        <v>1.6259219</v>
      </c>
    </row>
    <row r="737">
      <c r="A737" s="5" t="str">
        <f t="shared" si="6"/>
        <v>P5</v>
      </c>
      <c r="B737" s="7">
        <v>91.0</v>
      </c>
      <c r="C737" s="17" t="s">
        <v>740</v>
      </c>
      <c r="D737" s="18" t="s">
        <v>7</v>
      </c>
      <c r="E737" s="19">
        <v>10.0</v>
      </c>
      <c r="F737" s="5">
        <f>IFERROR(__xludf.DUMMYFUNCTION("""COMPUTED_VALUE"""),1.72342819999903)</f>
        <v>1.7234282</v>
      </c>
    </row>
    <row r="738">
      <c r="A738" s="5" t="str">
        <f t="shared" si="6"/>
        <v>P5</v>
      </c>
      <c r="B738" s="7">
        <v>92.0</v>
      </c>
      <c r="C738" s="17" t="s">
        <v>741</v>
      </c>
      <c r="D738" s="18" t="s">
        <v>7</v>
      </c>
      <c r="E738" s="19">
        <v>5.0</v>
      </c>
      <c r="F738" s="5">
        <f>IFERROR(__xludf.DUMMYFUNCTION("""COMPUTED_VALUE"""),1.35188400000333)</f>
        <v>1.351884</v>
      </c>
    </row>
    <row r="739">
      <c r="A739" s="5" t="str">
        <f t="shared" si="6"/>
        <v>P5</v>
      </c>
      <c r="B739" s="7">
        <v>93.0</v>
      </c>
      <c r="C739" s="17" t="s">
        <v>742</v>
      </c>
      <c r="D739" s="18" t="s">
        <v>7</v>
      </c>
      <c r="E739" s="19">
        <v>10.0</v>
      </c>
      <c r="F739" s="5">
        <f>IFERROR(__xludf.DUMMYFUNCTION("""COMPUTED_VALUE"""),1.45609069999773)</f>
        <v>1.4560907</v>
      </c>
    </row>
    <row r="740">
      <c r="A740" s="5" t="str">
        <f t="shared" si="6"/>
        <v>P5</v>
      </c>
      <c r="B740" s="7">
        <v>94.0</v>
      </c>
      <c r="C740" s="17" t="s">
        <v>743</v>
      </c>
      <c r="D740" s="18" t="s">
        <v>7</v>
      </c>
      <c r="E740" s="19">
        <v>10.0</v>
      </c>
      <c r="F740" s="5">
        <f>IFERROR(__xludf.DUMMYFUNCTION("""COMPUTED_VALUE"""),2.26125060000049)</f>
        <v>2.2612506</v>
      </c>
    </row>
    <row r="741">
      <c r="A741" s="5" t="str">
        <f t="shared" si="6"/>
        <v>P5</v>
      </c>
      <c r="B741" s="7">
        <v>95.0</v>
      </c>
      <c r="C741" s="17" t="s">
        <v>744</v>
      </c>
      <c r="D741" s="18" t="s">
        <v>7</v>
      </c>
      <c r="E741" s="19">
        <v>5.0</v>
      </c>
      <c r="F741" s="5">
        <f>IFERROR(__xludf.DUMMYFUNCTION("""COMPUTED_VALUE"""),2.16517920000478)</f>
        <v>2.1651792</v>
      </c>
    </row>
    <row r="742">
      <c r="A742" s="5" t="str">
        <f t="shared" si="6"/>
        <v>P5</v>
      </c>
      <c r="B742" s="7">
        <v>96.0</v>
      </c>
      <c r="C742" s="17" t="s">
        <v>745</v>
      </c>
      <c r="D742" s="18" t="s">
        <v>7</v>
      </c>
      <c r="E742" s="19">
        <v>5.0</v>
      </c>
      <c r="F742" s="5">
        <f>IFERROR(__xludf.DUMMYFUNCTION("""COMPUTED_VALUE"""),2.09422400000039)</f>
        <v>2.094224</v>
      </c>
    </row>
    <row r="743">
      <c r="A743" s="5" t="str">
        <f t="shared" si="6"/>
        <v>P5</v>
      </c>
      <c r="B743" s="7">
        <v>98.0</v>
      </c>
      <c r="C743" s="17" t="s">
        <v>746</v>
      </c>
      <c r="D743" s="18" t="s">
        <v>7</v>
      </c>
      <c r="E743" s="19">
        <v>10.0</v>
      </c>
      <c r="F743" s="5">
        <f>IFERROR(__xludf.DUMMYFUNCTION("""COMPUTED_VALUE"""),2.2443471999868)</f>
        <v>2.2443472</v>
      </c>
    </row>
    <row r="744">
      <c r="A744" s="5" t="str">
        <f t="shared" si="6"/>
        <v>P5</v>
      </c>
      <c r="B744" s="7">
        <v>99.0</v>
      </c>
      <c r="C744" s="17" t="s">
        <v>747</v>
      </c>
      <c r="D744" s="18" t="s">
        <v>7</v>
      </c>
      <c r="E744" s="19">
        <v>5.0</v>
      </c>
      <c r="F744" s="5">
        <f>IFERROR(__xludf.DUMMYFUNCTION("""COMPUTED_VALUE"""),1.84602559999621)</f>
        <v>1.8460256</v>
      </c>
    </row>
    <row r="745">
      <c r="A745" s="5" t="str">
        <f t="shared" si="6"/>
        <v>P5</v>
      </c>
      <c r="B745" s="7">
        <v>100.0</v>
      </c>
      <c r="C745" s="17" t="s">
        <v>748</v>
      </c>
      <c r="D745" s="18" t="s">
        <v>7</v>
      </c>
      <c r="E745" s="19">
        <v>10.0</v>
      </c>
      <c r="F745" s="5">
        <f>IFERROR(__xludf.DUMMYFUNCTION("""COMPUTED_VALUE"""),1.48268279999319)</f>
        <v>1.4826828</v>
      </c>
    </row>
    <row r="746">
      <c r="A746" s="5" t="str">
        <f t="shared" si="6"/>
        <v>P5</v>
      </c>
      <c r="B746" s="7">
        <v>101.0</v>
      </c>
      <c r="C746" s="17" t="s">
        <v>749</v>
      </c>
      <c r="D746" s="18" t="s">
        <v>7</v>
      </c>
      <c r="E746" s="19">
        <v>5.0</v>
      </c>
      <c r="F746" s="5">
        <f>IFERROR(__xludf.DUMMYFUNCTION("""COMPUTED_VALUE"""),1.98495410000032)</f>
        <v>1.9849541</v>
      </c>
    </row>
    <row r="747">
      <c r="A747" s="5" t="str">
        <f t="shared" si="6"/>
        <v>P5</v>
      </c>
      <c r="B747" s="7">
        <v>102.0</v>
      </c>
      <c r="C747" s="17" t="s">
        <v>750</v>
      </c>
      <c r="D747" s="18" t="s">
        <v>7</v>
      </c>
      <c r="E747" s="19">
        <v>10.0</v>
      </c>
      <c r="F747" s="5">
        <f>IFERROR(__xludf.DUMMYFUNCTION("""COMPUTED_VALUE"""),1.44001409999327)</f>
        <v>1.4400141</v>
      </c>
    </row>
    <row r="748">
      <c r="A748" s="5" t="str">
        <f t="shared" si="6"/>
        <v>P5</v>
      </c>
      <c r="B748" s="7">
        <v>103.0</v>
      </c>
      <c r="C748" s="17" t="s">
        <v>751</v>
      </c>
      <c r="D748" s="18" t="s">
        <v>7</v>
      </c>
      <c r="E748" s="19">
        <v>5.0</v>
      </c>
      <c r="F748" s="5">
        <f>IFERROR(__xludf.DUMMYFUNCTION("""COMPUTED_VALUE"""),1.49862890000804)</f>
        <v>1.4986289</v>
      </c>
    </row>
    <row r="749">
      <c r="A749" s="5" t="str">
        <f t="shared" si="6"/>
        <v>P5</v>
      </c>
      <c r="B749" s="7">
        <v>104.0</v>
      </c>
      <c r="C749" s="17" t="s">
        <v>752</v>
      </c>
      <c r="D749" s="18" t="s">
        <v>7</v>
      </c>
      <c r="E749" s="19">
        <v>5.0</v>
      </c>
      <c r="F749" s="5">
        <f>IFERROR(__xludf.DUMMYFUNCTION("""COMPUTED_VALUE"""),1.38070960000914)</f>
        <v>1.3807096</v>
      </c>
    </row>
    <row r="750">
      <c r="A750" s="5" t="str">
        <f t="shared" si="6"/>
        <v>P5</v>
      </c>
      <c r="B750" s="7">
        <v>105.0</v>
      </c>
      <c r="C750" s="17" t="s">
        <v>753</v>
      </c>
      <c r="D750" s="18" t="s">
        <v>7</v>
      </c>
      <c r="E750" s="19">
        <v>5.0</v>
      </c>
      <c r="F750" s="5">
        <f>IFERROR(__xludf.DUMMYFUNCTION("""COMPUTED_VALUE"""),1.19826419999299)</f>
        <v>1.1982642</v>
      </c>
    </row>
    <row r="751">
      <c r="A751" s="5" t="str">
        <f t="shared" si="6"/>
        <v>P5</v>
      </c>
      <c r="B751" s="7">
        <v>106.0</v>
      </c>
      <c r="C751" s="17" t="s">
        <v>754</v>
      </c>
      <c r="D751" s="18" t="s">
        <v>7</v>
      </c>
      <c r="E751" s="19">
        <v>10.0</v>
      </c>
      <c r="F751" s="5">
        <f>IFERROR(__xludf.DUMMYFUNCTION("""COMPUTED_VALUE"""),1.92829789999814)</f>
        <v>1.9282979</v>
      </c>
    </row>
    <row r="752">
      <c r="A752" s="5" t="str">
        <f t="shared" si="6"/>
        <v>P5</v>
      </c>
      <c r="B752" s="7">
        <v>107.0</v>
      </c>
      <c r="C752" s="17" t="s">
        <v>755</v>
      </c>
      <c r="D752" s="18" t="s">
        <v>7</v>
      </c>
      <c r="E752" s="19">
        <v>10.0</v>
      </c>
      <c r="F752" s="5">
        <f>IFERROR(__xludf.DUMMYFUNCTION("""COMPUTED_VALUE"""),1.7264511000103)</f>
        <v>1.7264511</v>
      </c>
    </row>
    <row r="753">
      <c r="A753" s="5" t="str">
        <f t="shared" si="6"/>
        <v>P5</v>
      </c>
      <c r="B753" s="7">
        <v>108.0</v>
      </c>
      <c r="C753" s="17" t="s">
        <v>756</v>
      </c>
      <c r="D753" s="18" t="s">
        <v>7</v>
      </c>
      <c r="E753" s="19">
        <v>10.0</v>
      </c>
      <c r="F753" s="5">
        <f>IFERROR(__xludf.DUMMYFUNCTION("""COMPUTED_VALUE"""),2.05549830000381)</f>
        <v>2.0554983</v>
      </c>
    </row>
    <row r="754">
      <c r="A754" s="5" t="str">
        <f t="shared" si="6"/>
        <v>P5</v>
      </c>
      <c r="B754" s="7">
        <v>110.0</v>
      </c>
      <c r="C754" s="17" t="s">
        <v>757</v>
      </c>
      <c r="D754" s="18" t="s">
        <v>7</v>
      </c>
      <c r="E754" s="19">
        <v>5.0</v>
      </c>
      <c r="F754" s="5">
        <f>IFERROR(__xludf.DUMMYFUNCTION("""COMPUTED_VALUE"""),1.3970823999989)</f>
        <v>1.3970824</v>
      </c>
    </row>
    <row r="755">
      <c r="A755" s="5" t="str">
        <f t="shared" si="6"/>
        <v>P5</v>
      </c>
      <c r="B755" s="7">
        <v>111.0</v>
      </c>
      <c r="C755" s="17" t="s">
        <v>758</v>
      </c>
      <c r="D755" s="18" t="s">
        <v>7</v>
      </c>
      <c r="E755" s="19">
        <v>10.0</v>
      </c>
      <c r="F755" s="5">
        <f>IFERROR(__xludf.DUMMYFUNCTION("""COMPUTED_VALUE"""),1.70876209999551)</f>
        <v>1.7087621</v>
      </c>
    </row>
    <row r="756">
      <c r="A756" s="5" t="str">
        <f t="shared" si="6"/>
        <v>P5</v>
      </c>
      <c r="B756" s="7">
        <v>112.0</v>
      </c>
      <c r="C756" s="17" t="s">
        <v>759</v>
      </c>
      <c r="D756" s="18" t="s">
        <v>7</v>
      </c>
      <c r="E756" s="19">
        <v>10.0</v>
      </c>
      <c r="F756" s="5">
        <f>IFERROR(__xludf.DUMMYFUNCTION("""COMPUTED_VALUE"""),1.37268369999947)</f>
        <v>1.3726837</v>
      </c>
    </row>
    <row r="757">
      <c r="A757" s="5" t="str">
        <f t="shared" si="6"/>
        <v>P5</v>
      </c>
      <c r="B757" s="7">
        <v>113.0</v>
      </c>
      <c r="C757" s="17" t="s">
        <v>760</v>
      </c>
      <c r="D757" s="18" t="s">
        <v>7</v>
      </c>
      <c r="E757" s="19">
        <v>5.0</v>
      </c>
      <c r="F757" s="5">
        <f>IFERROR(__xludf.DUMMYFUNCTION("""COMPUTED_VALUE"""),1.65108929999405)</f>
        <v>1.6510893</v>
      </c>
    </row>
    <row r="758">
      <c r="A758" s="5" t="str">
        <f t="shared" si="6"/>
        <v>P5</v>
      </c>
      <c r="B758" s="7">
        <v>114.0</v>
      </c>
      <c r="C758" s="17" t="s">
        <v>761</v>
      </c>
      <c r="D758" s="18" t="s">
        <v>7</v>
      </c>
      <c r="E758" s="19">
        <v>10.0</v>
      </c>
      <c r="F758" s="5">
        <f>IFERROR(__xludf.DUMMYFUNCTION("""COMPUTED_VALUE"""),1.32058089999191)</f>
        <v>1.3205809</v>
      </c>
    </row>
    <row r="759">
      <c r="A759" s="5" t="str">
        <f t="shared" si="6"/>
        <v>P5</v>
      </c>
      <c r="B759" s="7">
        <v>115.0</v>
      </c>
      <c r="C759" s="17" t="s">
        <v>762</v>
      </c>
      <c r="D759" s="18" t="s">
        <v>7</v>
      </c>
      <c r="E759" s="19">
        <v>10.0</v>
      </c>
      <c r="F759" s="5">
        <f>IFERROR(__xludf.DUMMYFUNCTION("""COMPUTED_VALUE"""),1.69240090000676)</f>
        <v>1.6924009</v>
      </c>
    </row>
    <row r="760">
      <c r="A760" s="5" t="str">
        <f t="shared" si="6"/>
        <v>P5</v>
      </c>
      <c r="B760" s="7">
        <v>117.0</v>
      </c>
      <c r="C760" s="17" t="s">
        <v>763</v>
      </c>
      <c r="D760" s="18" t="s">
        <v>7</v>
      </c>
      <c r="E760" s="19">
        <v>10.0</v>
      </c>
      <c r="F760" s="5">
        <f>IFERROR(__xludf.DUMMYFUNCTION("""COMPUTED_VALUE"""),1.70855049999954)</f>
        <v>1.7085505</v>
      </c>
    </row>
    <row r="761">
      <c r="A761" s="5" t="str">
        <f t="shared" si="6"/>
        <v>P5</v>
      </c>
      <c r="B761" s="7">
        <v>118.0</v>
      </c>
      <c r="C761" s="17" t="s">
        <v>764</v>
      </c>
      <c r="D761" s="18" t="s">
        <v>7</v>
      </c>
      <c r="E761" s="19">
        <v>10.0</v>
      </c>
      <c r="F761" s="5">
        <f>IFERROR(__xludf.DUMMYFUNCTION("""COMPUTED_VALUE"""),2.97662089999357)</f>
        <v>2.9766209</v>
      </c>
    </row>
    <row r="762">
      <c r="A762" s="5" t="str">
        <f t="shared" si="6"/>
        <v>P5</v>
      </c>
      <c r="B762" s="7">
        <v>121.0</v>
      </c>
      <c r="C762" s="17" t="s">
        <v>765</v>
      </c>
      <c r="D762" s="18" t="s">
        <v>7</v>
      </c>
      <c r="E762" s="19">
        <v>10.0</v>
      </c>
      <c r="F762" s="5">
        <f>IFERROR(__xludf.DUMMYFUNCTION("""COMPUTED_VALUE"""),1.40251290000742)</f>
        <v>1.4025129</v>
      </c>
    </row>
    <row r="763">
      <c r="A763" s="5" t="str">
        <f t="shared" si="6"/>
        <v>P5</v>
      </c>
      <c r="B763" s="7">
        <v>122.0</v>
      </c>
      <c r="C763" s="17" t="s">
        <v>766</v>
      </c>
      <c r="D763" s="18" t="s">
        <v>7</v>
      </c>
      <c r="E763" s="19">
        <v>10.0</v>
      </c>
      <c r="F763" s="5">
        <f>IFERROR(__xludf.DUMMYFUNCTION("""COMPUTED_VALUE"""),2.79322459999821)</f>
        <v>2.7932246</v>
      </c>
    </row>
    <row r="764">
      <c r="A764" s="5" t="str">
        <f t="shared" si="6"/>
        <v>P5</v>
      </c>
      <c r="B764" s="7">
        <v>123.0</v>
      </c>
      <c r="C764" s="17" t="s">
        <v>767</v>
      </c>
      <c r="D764" s="18" t="s">
        <v>7</v>
      </c>
      <c r="E764" s="19">
        <v>5.0</v>
      </c>
      <c r="F764" s="5">
        <f>IFERROR(__xludf.DUMMYFUNCTION("""COMPUTED_VALUE"""),1.79713430000992)</f>
        <v>1.7971343</v>
      </c>
    </row>
    <row r="765">
      <c r="A765" s="5" t="str">
        <f t="shared" si="6"/>
        <v>P5</v>
      </c>
      <c r="B765" s="7">
        <v>124.0</v>
      </c>
      <c r="C765" s="17" t="s">
        <v>768</v>
      </c>
      <c r="D765" s="18" t="s">
        <v>7</v>
      </c>
      <c r="E765" s="19">
        <v>10.0</v>
      </c>
      <c r="F765" s="5">
        <f>IFERROR(__xludf.DUMMYFUNCTION("""COMPUTED_VALUE"""),2.30446849999134)</f>
        <v>2.3044685</v>
      </c>
    </row>
    <row r="766">
      <c r="A766" s="5" t="str">
        <f t="shared" si="6"/>
        <v>P5</v>
      </c>
      <c r="B766" s="7">
        <v>125.0</v>
      </c>
      <c r="C766" s="17" t="s">
        <v>769</v>
      </c>
      <c r="D766" s="18" t="s">
        <v>7</v>
      </c>
      <c r="E766" s="19">
        <v>10.0</v>
      </c>
      <c r="F766" s="5">
        <f>IFERROR(__xludf.DUMMYFUNCTION("""COMPUTED_VALUE"""),2.73974879999877)</f>
        <v>2.7397488</v>
      </c>
    </row>
    <row r="767">
      <c r="A767" s="5" t="str">
        <f t="shared" si="6"/>
        <v>P5</v>
      </c>
      <c r="B767" s="7">
        <v>126.0</v>
      </c>
      <c r="C767" s="17" t="s">
        <v>770</v>
      </c>
      <c r="D767" s="18" t="s">
        <v>7</v>
      </c>
      <c r="E767" s="19">
        <v>10.0</v>
      </c>
      <c r="F767" s="5">
        <f>IFERROR(__xludf.DUMMYFUNCTION("""COMPUTED_VALUE"""),2.60969899999327)</f>
        <v>2.609699</v>
      </c>
    </row>
    <row r="768">
      <c r="A768" s="5" t="str">
        <f t="shared" si="6"/>
        <v>P5</v>
      </c>
      <c r="B768" s="7">
        <v>127.0</v>
      </c>
      <c r="C768" s="17" t="s">
        <v>771</v>
      </c>
      <c r="D768" s="18" t="s">
        <v>7</v>
      </c>
      <c r="E768" s="19">
        <v>10.0</v>
      </c>
      <c r="F768" s="5">
        <f>IFERROR(__xludf.DUMMYFUNCTION("""COMPUTED_VALUE"""),1.52483730000676)</f>
        <v>1.5248373</v>
      </c>
    </row>
    <row r="769">
      <c r="A769" s="5" t="str">
        <f t="shared" si="6"/>
        <v>P5</v>
      </c>
      <c r="B769" s="7">
        <v>128.0</v>
      </c>
      <c r="C769" s="17" t="s">
        <v>772</v>
      </c>
      <c r="D769" s="18" t="s">
        <v>7</v>
      </c>
      <c r="E769" s="19">
        <v>10.0</v>
      </c>
      <c r="F769" s="5">
        <f>IFERROR(__xludf.DUMMYFUNCTION("""COMPUTED_VALUE"""),2.15594240000064)</f>
        <v>2.1559424</v>
      </c>
    </row>
    <row r="770">
      <c r="A770" s="5" t="str">
        <f t="shared" si="6"/>
        <v>P5</v>
      </c>
      <c r="B770" s="7">
        <v>129.0</v>
      </c>
      <c r="C770" s="17" t="s">
        <v>773</v>
      </c>
      <c r="D770" s="18" t="s">
        <v>7</v>
      </c>
      <c r="E770" s="19">
        <v>10.0</v>
      </c>
      <c r="F770" s="5">
        <f>IFERROR(__xludf.DUMMYFUNCTION("""COMPUTED_VALUE"""),2.69041029999789)</f>
        <v>2.6904103</v>
      </c>
    </row>
    <row r="771">
      <c r="A771" s="5" t="str">
        <f t="shared" si="6"/>
        <v>P5</v>
      </c>
      <c r="B771" s="7">
        <v>130.0</v>
      </c>
      <c r="C771" s="17" t="s">
        <v>774</v>
      </c>
      <c r="D771" s="18" t="s">
        <v>7</v>
      </c>
      <c r="E771" s="19">
        <v>10.0</v>
      </c>
      <c r="F771" s="5">
        <f>IFERROR(__xludf.DUMMYFUNCTION("""COMPUTED_VALUE"""),2.07134500000393)</f>
        <v>2.071345</v>
      </c>
    </row>
    <row r="772">
      <c r="A772" s="5" t="str">
        <f t="shared" si="6"/>
        <v>P5</v>
      </c>
      <c r="B772" s="7">
        <v>131.0</v>
      </c>
      <c r="C772" s="17" t="s">
        <v>775</v>
      </c>
      <c r="D772" s="18" t="s">
        <v>7</v>
      </c>
      <c r="E772" s="19">
        <v>10.0</v>
      </c>
      <c r="F772" s="5">
        <f>IFERROR(__xludf.DUMMYFUNCTION("""COMPUTED_VALUE"""),2.51038069999776)</f>
        <v>2.5103807</v>
      </c>
    </row>
    <row r="773">
      <c r="A773" s="5" t="str">
        <f t="shared" si="6"/>
        <v>P5</v>
      </c>
      <c r="B773" s="7">
        <v>133.0</v>
      </c>
      <c r="C773" s="17" t="s">
        <v>776</v>
      </c>
      <c r="D773" s="18" t="s">
        <v>7</v>
      </c>
      <c r="E773" s="19">
        <v>10.0</v>
      </c>
      <c r="F773" s="5">
        <f>IFERROR(__xludf.DUMMYFUNCTION("""COMPUTED_VALUE"""),2.43257710000034)</f>
        <v>2.4325771</v>
      </c>
    </row>
    <row r="774">
      <c r="A774" s="5" t="str">
        <f t="shared" si="6"/>
        <v>P5</v>
      </c>
      <c r="B774" s="7">
        <v>134.0</v>
      </c>
      <c r="C774" s="17" t="s">
        <v>777</v>
      </c>
      <c r="D774" s="18" t="s">
        <v>7</v>
      </c>
      <c r="E774" s="19">
        <v>10.0</v>
      </c>
      <c r="F774" s="5">
        <f>IFERROR(__xludf.DUMMYFUNCTION("""COMPUTED_VALUE"""),2.03182599999127)</f>
        <v>2.031826</v>
      </c>
    </row>
    <row r="775">
      <c r="A775" s="5" t="str">
        <f t="shared" si="6"/>
        <v>P5</v>
      </c>
      <c r="B775" s="7">
        <v>135.0</v>
      </c>
      <c r="C775" s="17" t="s">
        <v>778</v>
      </c>
      <c r="D775" s="18" t="s">
        <v>7</v>
      </c>
      <c r="E775" s="19">
        <v>10.0</v>
      </c>
      <c r="F775" s="5">
        <f>IFERROR(__xludf.DUMMYFUNCTION("""COMPUTED_VALUE"""),2.04184990000794)</f>
        <v>2.0418499</v>
      </c>
    </row>
    <row r="776">
      <c r="A776" s="5" t="str">
        <f t="shared" si="6"/>
        <v>P5</v>
      </c>
      <c r="B776" s="7">
        <v>136.0</v>
      </c>
      <c r="C776" s="17" t="s">
        <v>779</v>
      </c>
      <c r="D776" s="18" t="s">
        <v>7</v>
      </c>
      <c r="E776" s="19">
        <v>5.0</v>
      </c>
      <c r="F776" s="5">
        <f>IFERROR(__xludf.DUMMYFUNCTION("""COMPUTED_VALUE"""),1.73320930000045)</f>
        <v>1.7332093</v>
      </c>
    </row>
    <row r="777">
      <c r="A777" s="5" t="str">
        <f t="shared" si="6"/>
        <v>P5</v>
      </c>
      <c r="B777" s="7">
        <v>137.0</v>
      </c>
      <c r="C777" s="17" t="s">
        <v>780</v>
      </c>
      <c r="D777" s="18" t="s">
        <v>7</v>
      </c>
      <c r="E777" s="19">
        <v>10.0</v>
      </c>
      <c r="F777" s="5">
        <f>IFERROR(__xludf.DUMMYFUNCTION("""COMPUTED_VALUE"""),2.3337007999944)</f>
        <v>2.3337008</v>
      </c>
    </row>
    <row r="778">
      <c r="A778" s="5" t="str">
        <f t="shared" si="6"/>
        <v>P5</v>
      </c>
      <c r="B778" s="7">
        <v>139.0</v>
      </c>
      <c r="C778" s="17" t="s">
        <v>781</v>
      </c>
      <c r="D778" s="18" t="s">
        <v>7</v>
      </c>
      <c r="E778" s="19">
        <v>5.0</v>
      </c>
      <c r="F778" s="5">
        <f>IFERROR(__xludf.DUMMYFUNCTION("""COMPUTED_VALUE"""),0.931728099996689)</f>
        <v>0.9317281</v>
      </c>
    </row>
    <row r="779">
      <c r="A779" s="5" t="str">
        <f t="shared" si="6"/>
        <v>P5</v>
      </c>
      <c r="B779" s="7">
        <v>140.0</v>
      </c>
      <c r="C779" s="17" t="s">
        <v>782</v>
      </c>
      <c r="D779" s="18" t="s">
        <v>7</v>
      </c>
      <c r="E779" s="19">
        <v>10.0</v>
      </c>
      <c r="F779" s="5">
        <f>IFERROR(__xludf.DUMMYFUNCTION("""COMPUTED_VALUE"""),1.12520420001237)</f>
        <v>1.1252042</v>
      </c>
    </row>
    <row r="780">
      <c r="A780" s="5" t="str">
        <f t="shared" si="6"/>
        <v>P5</v>
      </c>
      <c r="B780" s="7">
        <v>142.0</v>
      </c>
      <c r="C780" s="17" t="s">
        <v>783</v>
      </c>
      <c r="D780" s="18" t="s">
        <v>7</v>
      </c>
      <c r="E780" s="19">
        <v>5.0</v>
      </c>
      <c r="F780" s="5">
        <f>IFERROR(__xludf.DUMMYFUNCTION("""COMPUTED_VALUE"""),1.39878309999767)</f>
        <v>1.3987831</v>
      </c>
    </row>
    <row r="781">
      <c r="A781" s="5" t="str">
        <f t="shared" si="6"/>
        <v>P5</v>
      </c>
      <c r="B781" s="7">
        <v>143.0</v>
      </c>
      <c r="C781" s="17" t="s">
        <v>784</v>
      </c>
      <c r="D781" s="18" t="s">
        <v>7</v>
      </c>
      <c r="E781" s="19">
        <v>5.0</v>
      </c>
      <c r="F781" s="5">
        <f>IFERROR(__xludf.DUMMYFUNCTION("""COMPUTED_VALUE"""),1.5449260000023)</f>
        <v>1.544926</v>
      </c>
    </row>
    <row r="782">
      <c r="A782" s="5" t="str">
        <f t="shared" si="6"/>
        <v>P5</v>
      </c>
      <c r="B782" s="7">
        <v>144.0</v>
      </c>
      <c r="C782" s="17" t="s">
        <v>785</v>
      </c>
      <c r="D782" s="18" t="s">
        <v>7</v>
      </c>
      <c r="E782" s="19">
        <v>10.0</v>
      </c>
      <c r="F782" s="5">
        <f>IFERROR(__xludf.DUMMYFUNCTION("""COMPUTED_VALUE"""),2.75715659999696)</f>
        <v>2.7571566</v>
      </c>
    </row>
    <row r="783">
      <c r="A783" s="5" t="str">
        <f t="shared" si="6"/>
        <v>P5</v>
      </c>
      <c r="B783" s="7">
        <v>145.0</v>
      </c>
      <c r="C783" s="17" t="s">
        <v>786</v>
      </c>
      <c r="D783" s="18" t="s">
        <v>7</v>
      </c>
      <c r="E783" s="19">
        <v>5.0</v>
      </c>
      <c r="F783" s="5">
        <f>IFERROR(__xludf.DUMMYFUNCTION("""COMPUTED_VALUE"""),0.994298899997375)</f>
        <v>0.9942989</v>
      </c>
    </row>
    <row r="784">
      <c r="A784" s="5" t="str">
        <f t="shared" si="6"/>
        <v>P5</v>
      </c>
      <c r="B784" s="7">
        <v>146.0</v>
      </c>
      <c r="C784" s="17" t="s">
        <v>787</v>
      </c>
      <c r="D784" s="18" t="s">
        <v>7</v>
      </c>
      <c r="E784" s="19">
        <v>10.0</v>
      </c>
      <c r="F784" s="5">
        <f>IFERROR(__xludf.DUMMYFUNCTION("""COMPUTED_VALUE"""),1.54794259999471)</f>
        <v>1.5479426</v>
      </c>
    </row>
    <row r="785">
      <c r="A785" s="5" t="str">
        <f t="shared" si="6"/>
        <v>P5</v>
      </c>
      <c r="B785" s="7">
        <v>147.0</v>
      </c>
      <c r="C785" s="17" t="s">
        <v>788</v>
      </c>
      <c r="D785" s="18" t="s">
        <v>7</v>
      </c>
      <c r="E785" s="19">
        <v>5.0</v>
      </c>
      <c r="F785" s="5">
        <f>IFERROR(__xludf.DUMMYFUNCTION("""COMPUTED_VALUE"""),2.38412199998856)</f>
        <v>2.384122</v>
      </c>
    </row>
    <row r="786">
      <c r="A786" s="5" t="str">
        <f t="shared" si="6"/>
        <v>P5</v>
      </c>
      <c r="B786" s="7">
        <v>148.0</v>
      </c>
      <c r="C786" s="17" t="s">
        <v>789</v>
      </c>
      <c r="D786" s="18" t="s">
        <v>7</v>
      </c>
      <c r="E786" s="19">
        <v>10.0</v>
      </c>
      <c r="F786" s="5">
        <f>IFERROR(__xludf.DUMMYFUNCTION("""COMPUTED_VALUE"""),1.55727570000453)</f>
        <v>1.5572757</v>
      </c>
    </row>
    <row r="787">
      <c r="A787" s="5" t="str">
        <f t="shared" si="6"/>
        <v>P5</v>
      </c>
      <c r="B787" s="7">
        <v>149.0</v>
      </c>
      <c r="C787" s="17" t="s">
        <v>790</v>
      </c>
      <c r="D787" s="18" t="s">
        <v>7</v>
      </c>
      <c r="E787" s="19">
        <v>5.0</v>
      </c>
      <c r="F787" s="5">
        <f>IFERROR(__xludf.DUMMYFUNCTION("""COMPUTED_VALUE"""),2.2396185999969)</f>
        <v>2.2396186</v>
      </c>
    </row>
    <row r="788">
      <c r="A788" s="5" t="str">
        <f t="shared" si="6"/>
        <v>P5</v>
      </c>
      <c r="B788" s="7">
        <v>150.0</v>
      </c>
      <c r="C788" s="17" t="s">
        <v>791</v>
      </c>
      <c r="D788" s="18" t="s">
        <v>7</v>
      </c>
      <c r="E788" s="19">
        <v>5.0</v>
      </c>
      <c r="F788" s="5">
        <f>IFERROR(__xludf.DUMMYFUNCTION("""COMPUTED_VALUE"""),1.7328269000136)</f>
        <v>1.7328269</v>
      </c>
    </row>
    <row r="789">
      <c r="A789" s="5" t="str">
        <f t="shared" si="6"/>
        <v>P5</v>
      </c>
      <c r="B789" s="7">
        <v>151.0</v>
      </c>
      <c r="C789" s="17" t="s">
        <v>792</v>
      </c>
      <c r="D789" s="18" t="s">
        <v>7</v>
      </c>
      <c r="E789" s="19">
        <v>10.0</v>
      </c>
      <c r="F789" s="5">
        <f>IFERROR(__xludf.DUMMYFUNCTION("""COMPUTED_VALUE"""),1.50674219999928)</f>
        <v>1.5067422</v>
      </c>
    </row>
    <row r="790">
      <c r="A790" s="5" t="str">
        <f t="shared" si="6"/>
        <v>P5</v>
      </c>
      <c r="B790" s="7">
        <v>152.0</v>
      </c>
      <c r="C790" s="17" t="s">
        <v>793</v>
      </c>
      <c r="D790" s="18" t="s">
        <v>7</v>
      </c>
      <c r="E790" s="19">
        <v>5.0</v>
      </c>
      <c r="F790" s="5">
        <f>IFERROR(__xludf.DUMMYFUNCTION("""COMPUTED_VALUE"""),1.91750090000277)</f>
        <v>1.9175009</v>
      </c>
    </row>
    <row r="791">
      <c r="A791" s="5" t="str">
        <f t="shared" si="6"/>
        <v>P5</v>
      </c>
      <c r="B791" s="7">
        <v>154.0</v>
      </c>
      <c r="C791" s="17" t="s">
        <v>794</v>
      </c>
      <c r="D791" s="18" t="s">
        <v>7</v>
      </c>
      <c r="E791" s="19">
        <v>10.0</v>
      </c>
      <c r="F791" s="5">
        <f>IFERROR(__xludf.DUMMYFUNCTION("""COMPUTED_VALUE"""),1.77144349999434)</f>
        <v>1.7714435</v>
      </c>
    </row>
    <row r="792">
      <c r="A792" s="5" t="str">
        <f t="shared" si="6"/>
        <v>P5</v>
      </c>
      <c r="B792" s="7">
        <v>155.0</v>
      </c>
      <c r="C792" s="17" t="s">
        <v>795</v>
      </c>
      <c r="D792" s="18" t="s">
        <v>7</v>
      </c>
      <c r="E792" s="19">
        <v>10.0</v>
      </c>
      <c r="F792" s="5">
        <f>IFERROR(__xludf.DUMMYFUNCTION("""COMPUTED_VALUE"""),1.58354579999286)</f>
        <v>1.5835458</v>
      </c>
    </row>
    <row r="793">
      <c r="A793" s="5" t="str">
        <f t="shared" si="6"/>
        <v>P5</v>
      </c>
      <c r="B793" s="7">
        <v>156.0</v>
      </c>
      <c r="C793" s="17" t="s">
        <v>796</v>
      </c>
      <c r="D793" s="18" t="s">
        <v>7</v>
      </c>
      <c r="E793" s="19">
        <v>5.0</v>
      </c>
      <c r="F793" s="5">
        <f>IFERROR(__xludf.DUMMYFUNCTION("""COMPUTED_VALUE"""),1.8797479999921)</f>
        <v>1.879748</v>
      </c>
    </row>
    <row r="794">
      <c r="A794" s="5" t="str">
        <f t="shared" si="6"/>
        <v>P5</v>
      </c>
      <c r="B794" s="7">
        <v>157.0</v>
      </c>
      <c r="C794" s="17" t="s">
        <v>797</v>
      </c>
      <c r="D794" s="18" t="s">
        <v>7</v>
      </c>
      <c r="E794" s="19">
        <v>10.0</v>
      </c>
      <c r="F794" s="5">
        <f>IFERROR(__xludf.DUMMYFUNCTION("""COMPUTED_VALUE"""),1.92139509999833)</f>
        <v>1.9213951</v>
      </c>
    </row>
    <row r="795">
      <c r="A795" s="5" t="str">
        <f t="shared" si="6"/>
        <v>P5</v>
      </c>
      <c r="B795" s="7">
        <v>158.0</v>
      </c>
      <c r="C795" s="17" t="s">
        <v>798</v>
      </c>
      <c r="D795" s="18" t="s">
        <v>7</v>
      </c>
      <c r="E795" s="19">
        <v>5.0</v>
      </c>
      <c r="F795" s="5">
        <f>IFERROR(__xludf.DUMMYFUNCTION("""COMPUTED_VALUE"""),1.23111230001086)</f>
        <v>1.2311123</v>
      </c>
    </row>
    <row r="796">
      <c r="A796" s="5" t="str">
        <f t="shared" si="6"/>
        <v>P5</v>
      </c>
      <c r="B796" s="7">
        <v>159.0</v>
      </c>
      <c r="C796" s="17" t="s">
        <v>799</v>
      </c>
      <c r="D796" s="18" t="s">
        <v>7</v>
      </c>
      <c r="E796" s="19">
        <v>5.0</v>
      </c>
      <c r="F796" s="5">
        <f>IFERROR(__xludf.DUMMYFUNCTION("""COMPUTED_VALUE"""),1.68668949999846)</f>
        <v>1.6866895</v>
      </c>
    </row>
    <row r="797">
      <c r="A797" s="5" t="str">
        <f t="shared" si="6"/>
        <v>P5</v>
      </c>
      <c r="B797" s="7">
        <v>160.0</v>
      </c>
      <c r="C797" s="17" t="s">
        <v>800</v>
      </c>
      <c r="D797" s="18" t="s">
        <v>7</v>
      </c>
      <c r="E797" s="19">
        <v>5.0</v>
      </c>
      <c r="F797" s="5">
        <f>IFERROR(__xludf.DUMMYFUNCTION("""COMPUTED_VALUE"""),1.91610780000337)</f>
        <v>1.9161078</v>
      </c>
    </row>
    <row r="798">
      <c r="A798" s="5" t="str">
        <f t="shared" si="6"/>
        <v>P5</v>
      </c>
      <c r="B798" s="7">
        <v>162.0</v>
      </c>
      <c r="C798" s="17" t="s">
        <v>801</v>
      </c>
      <c r="D798" s="18" t="s">
        <v>7</v>
      </c>
      <c r="E798" s="19">
        <v>10.0</v>
      </c>
      <c r="F798" s="5">
        <f>IFERROR(__xludf.DUMMYFUNCTION("""COMPUTED_VALUE"""),1.52551890000177)</f>
        <v>1.5255189</v>
      </c>
    </row>
    <row r="799">
      <c r="A799" s="5" t="str">
        <f t="shared" si="6"/>
        <v>P5</v>
      </c>
      <c r="B799" s="7">
        <v>163.0</v>
      </c>
      <c r="C799" s="17" t="s">
        <v>802</v>
      </c>
      <c r="D799" s="18" t="s">
        <v>7</v>
      </c>
      <c r="E799" s="19">
        <v>10.0</v>
      </c>
      <c r="F799" s="5">
        <f>IFERROR(__xludf.DUMMYFUNCTION("""COMPUTED_VALUE"""),2.02319400000851)</f>
        <v>2.023194</v>
      </c>
    </row>
    <row r="800">
      <c r="A800" s="5" t="str">
        <f t="shared" si="6"/>
        <v>P5</v>
      </c>
      <c r="B800" s="7">
        <v>166.0</v>
      </c>
      <c r="C800" s="17" t="s">
        <v>803</v>
      </c>
      <c r="D800" s="18" t="s">
        <v>7</v>
      </c>
      <c r="E800" s="19">
        <v>10.0</v>
      </c>
      <c r="F800" s="5">
        <f>IFERROR(__xludf.DUMMYFUNCTION("""COMPUTED_VALUE"""),1.60346899999422)</f>
        <v>1.603469</v>
      </c>
    </row>
    <row r="801">
      <c r="A801" s="5" t="str">
        <f t="shared" si="6"/>
        <v>P5</v>
      </c>
      <c r="B801" s="7">
        <v>167.0</v>
      </c>
      <c r="C801" s="17" t="s">
        <v>804</v>
      </c>
      <c r="D801" s="18" t="s">
        <v>7</v>
      </c>
      <c r="E801" s="19">
        <v>10.0</v>
      </c>
      <c r="F801" s="5">
        <f>IFERROR(__xludf.DUMMYFUNCTION("""COMPUTED_VALUE"""),2.24068540000007)</f>
        <v>2.2406854</v>
      </c>
    </row>
    <row r="802">
      <c r="A802" s="5" t="str">
        <f t="shared" si="6"/>
        <v>P5</v>
      </c>
      <c r="B802" s="7">
        <v>168.0</v>
      </c>
      <c r="C802" s="17" t="s">
        <v>805</v>
      </c>
      <c r="D802" s="18" t="s">
        <v>7</v>
      </c>
      <c r="E802" s="19">
        <v>5.0</v>
      </c>
      <c r="F802" s="5">
        <f>IFERROR(__xludf.DUMMYFUNCTION("""COMPUTED_VALUE"""),1.84855549999338)</f>
        <v>1.8485555</v>
      </c>
    </row>
    <row r="803">
      <c r="A803" s="5" t="str">
        <f t="shared" si="6"/>
        <v>P5</v>
      </c>
      <c r="B803" s="7">
        <v>169.0</v>
      </c>
      <c r="C803" s="17" t="s">
        <v>806</v>
      </c>
      <c r="D803" s="18" t="s">
        <v>7</v>
      </c>
      <c r="E803" s="19">
        <v>10.0</v>
      </c>
      <c r="F803" s="5">
        <f>IFERROR(__xludf.DUMMYFUNCTION("""COMPUTED_VALUE"""),3.29973619998781)</f>
        <v>3.2997362</v>
      </c>
    </row>
    <row r="804">
      <c r="A804" s="5" t="str">
        <f t="shared" si="6"/>
        <v>P5</v>
      </c>
      <c r="B804" s="7">
        <v>170.0</v>
      </c>
      <c r="C804" s="17" t="s">
        <v>807</v>
      </c>
      <c r="D804" s="18" t="s">
        <v>7</v>
      </c>
      <c r="E804" s="19">
        <v>10.0</v>
      </c>
      <c r="F804" s="5">
        <f>IFERROR(__xludf.DUMMYFUNCTION("""COMPUTED_VALUE"""),1.50569169998925)</f>
        <v>1.5056917</v>
      </c>
    </row>
    <row r="805">
      <c r="A805" s="5" t="str">
        <f t="shared" si="6"/>
        <v>P5</v>
      </c>
      <c r="B805" s="7">
        <v>171.0</v>
      </c>
      <c r="C805" s="17" t="s">
        <v>808</v>
      </c>
      <c r="D805" s="18" t="s">
        <v>7</v>
      </c>
      <c r="E805" s="19">
        <v>10.0</v>
      </c>
      <c r="F805" s="5">
        <f>IFERROR(__xludf.DUMMYFUNCTION("""COMPUTED_VALUE"""),1.26199990000168)</f>
        <v>1.2619999</v>
      </c>
    </row>
    <row r="806">
      <c r="A806" s="5" t="str">
        <f t="shared" si="6"/>
        <v>P5</v>
      </c>
      <c r="B806" s="7">
        <v>172.0</v>
      </c>
      <c r="C806" s="17" t="s">
        <v>809</v>
      </c>
      <c r="D806" s="18" t="s">
        <v>7</v>
      </c>
      <c r="E806" s="19">
        <v>5.0</v>
      </c>
      <c r="F806" s="5">
        <f>IFERROR(__xludf.DUMMYFUNCTION("""COMPUTED_VALUE"""),1.5232926000026)</f>
        <v>1.5232926</v>
      </c>
    </row>
    <row r="807">
      <c r="A807" s="5" t="str">
        <f t="shared" si="6"/>
        <v>P5</v>
      </c>
      <c r="B807" s="7">
        <v>173.0</v>
      </c>
      <c r="C807" s="17" t="s">
        <v>810</v>
      </c>
      <c r="D807" s="18" t="s">
        <v>7</v>
      </c>
      <c r="E807" s="19">
        <v>10.0</v>
      </c>
      <c r="F807" s="5">
        <f>IFERROR(__xludf.DUMMYFUNCTION("""COMPUTED_VALUE"""),2.01466499999514)</f>
        <v>2.014665</v>
      </c>
    </row>
    <row r="808">
      <c r="A808" s="5" t="str">
        <f t="shared" si="6"/>
        <v>P5</v>
      </c>
      <c r="B808" s="7">
        <v>174.0</v>
      </c>
      <c r="C808" s="17" t="s">
        <v>811</v>
      </c>
      <c r="D808" s="18" t="s">
        <v>7</v>
      </c>
      <c r="E808" s="19">
        <v>5.0</v>
      </c>
      <c r="F808" s="5">
        <f>IFERROR(__xludf.DUMMYFUNCTION("""COMPUTED_VALUE"""),1.98739490000298)</f>
        <v>1.9873949</v>
      </c>
    </row>
    <row r="809">
      <c r="A809" s="5" t="str">
        <f t="shared" si="6"/>
        <v>P5</v>
      </c>
      <c r="B809" s="7">
        <v>177.0</v>
      </c>
      <c r="C809" s="17" t="s">
        <v>812</v>
      </c>
      <c r="D809" s="18" t="s">
        <v>7</v>
      </c>
      <c r="E809" s="19">
        <v>5.0</v>
      </c>
      <c r="F809" s="5">
        <f>IFERROR(__xludf.DUMMYFUNCTION("""COMPUTED_VALUE"""),1.98760629999742)</f>
        <v>1.9876063</v>
      </c>
    </row>
    <row r="810">
      <c r="A810" s="5" t="str">
        <f t="shared" si="6"/>
        <v>P5</v>
      </c>
      <c r="B810" s="7">
        <v>178.0</v>
      </c>
      <c r="C810" s="17" t="s">
        <v>813</v>
      </c>
      <c r="D810" s="18" t="s">
        <v>7</v>
      </c>
      <c r="E810" s="19">
        <v>10.0</v>
      </c>
      <c r="F810" s="5">
        <f>IFERROR(__xludf.DUMMYFUNCTION("""COMPUTED_VALUE"""),2.80360130000917)</f>
        <v>2.8036013</v>
      </c>
    </row>
    <row r="811">
      <c r="A811" s="5" t="str">
        <f t="shared" si="6"/>
        <v>P5</v>
      </c>
      <c r="B811" s="7">
        <v>179.0</v>
      </c>
      <c r="C811" s="17" t="s">
        <v>814</v>
      </c>
      <c r="D811" s="18" t="s">
        <v>7</v>
      </c>
      <c r="E811" s="19">
        <v>5.0</v>
      </c>
      <c r="F811" s="5">
        <f>IFERROR(__xludf.DUMMYFUNCTION("""COMPUTED_VALUE"""),1.28602850000606)</f>
        <v>1.2860285</v>
      </c>
    </row>
    <row r="812">
      <c r="A812" s="5" t="str">
        <f t="shared" si="6"/>
        <v>P5</v>
      </c>
      <c r="B812" s="7">
        <v>180.0</v>
      </c>
      <c r="C812" s="17" t="s">
        <v>815</v>
      </c>
      <c r="D812" s="18" t="s">
        <v>7</v>
      </c>
      <c r="E812" s="19">
        <v>5.0</v>
      </c>
      <c r="F812" s="5">
        <f>IFERROR(__xludf.DUMMYFUNCTION("""COMPUTED_VALUE"""),1.22002140000404)</f>
        <v>1.2200214</v>
      </c>
    </row>
    <row r="813">
      <c r="A813" s="5" t="str">
        <f t="shared" si="6"/>
        <v>P5</v>
      </c>
      <c r="B813" s="7">
        <v>181.0</v>
      </c>
      <c r="C813" s="17" t="s">
        <v>816</v>
      </c>
      <c r="D813" s="18" t="s">
        <v>7</v>
      </c>
      <c r="E813" s="19">
        <v>10.0</v>
      </c>
      <c r="F813" s="5">
        <f>IFERROR(__xludf.DUMMYFUNCTION("""COMPUTED_VALUE"""),1.60951080000086)</f>
        <v>1.6095108</v>
      </c>
    </row>
    <row r="814">
      <c r="A814" s="5" t="str">
        <f t="shared" si="6"/>
        <v>P5</v>
      </c>
      <c r="B814" s="7">
        <v>182.0</v>
      </c>
      <c r="C814" s="17" t="s">
        <v>817</v>
      </c>
      <c r="D814" s="18" t="s">
        <v>7</v>
      </c>
      <c r="E814" s="19">
        <v>5.0</v>
      </c>
      <c r="F814" s="5">
        <f>IFERROR(__xludf.DUMMYFUNCTION("""COMPUTED_VALUE"""),1.51922210000338)</f>
        <v>1.5192221</v>
      </c>
    </row>
    <row r="815">
      <c r="A815" s="5" t="str">
        <f t="shared" si="6"/>
        <v>P5</v>
      </c>
      <c r="B815" s="7">
        <v>184.0</v>
      </c>
      <c r="C815" s="17" t="s">
        <v>818</v>
      </c>
      <c r="D815" s="18" t="s">
        <v>7</v>
      </c>
      <c r="E815" s="19">
        <v>5.0</v>
      </c>
      <c r="F815" s="5">
        <f>IFERROR(__xludf.DUMMYFUNCTION("""COMPUTED_VALUE"""),1.65038880000065)</f>
        <v>1.6503888</v>
      </c>
    </row>
    <row r="816">
      <c r="A816" s="5" t="str">
        <f t="shared" si="6"/>
        <v>P5</v>
      </c>
      <c r="B816" s="7">
        <v>185.0</v>
      </c>
      <c r="C816" s="17" t="s">
        <v>819</v>
      </c>
      <c r="D816" s="18" t="s">
        <v>7</v>
      </c>
      <c r="E816" s="19">
        <v>10.0</v>
      </c>
      <c r="F816" s="5">
        <f>IFERROR(__xludf.DUMMYFUNCTION("""COMPUTED_VALUE"""),2.90799900000274)</f>
        <v>2.907999</v>
      </c>
    </row>
    <row r="817">
      <c r="A817" s="5" t="str">
        <f t="shared" si="6"/>
        <v>P5</v>
      </c>
      <c r="B817" s="7">
        <v>186.0</v>
      </c>
      <c r="C817" s="17" t="s">
        <v>820</v>
      </c>
      <c r="D817" s="18" t="s">
        <v>7</v>
      </c>
      <c r="E817" s="19">
        <v>10.0</v>
      </c>
      <c r="F817" s="5">
        <f>IFERROR(__xludf.DUMMYFUNCTION("""COMPUTED_VALUE"""),1.94254309999814)</f>
        <v>1.9425431</v>
      </c>
    </row>
    <row r="818">
      <c r="A818" s="5" t="str">
        <f t="shared" si="6"/>
        <v>P5</v>
      </c>
      <c r="B818" s="7">
        <v>187.0</v>
      </c>
      <c r="C818" s="17" t="s">
        <v>821</v>
      </c>
      <c r="D818" s="18" t="s">
        <v>7</v>
      </c>
      <c r="E818" s="19">
        <v>10.0</v>
      </c>
      <c r="F818" s="5">
        <f>IFERROR(__xludf.DUMMYFUNCTION("""COMPUTED_VALUE"""),3.1381068000046)</f>
        <v>3.1381068</v>
      </c>
    </row>
    <row r="819">
      <c r="A819" s="5" t="str">
        <f t="shared" si="6"/>
        <v>P5</v>
      </c>
      <c r="B819" s="7">
        <v>188.0</v>
      </c>
      <c r="C819" s="17" t="s">
        <v>822</v>
      </c>
      <c r="D819" s="18" t="s">
        <v>7</v>
      </c>
      <c r="E819" s="19">
        <v>5.0</v>
      </c>
      <c r="F819" s="5">
        <f>IFERROR(__xludf.DUMMYFUNCTION("""COMPUTED_VALUE"""),1.79739940000581)</f>
        <v>1.7973994</v>
      </c>
    </row>
    <row r="820">
      <c r="A820" s="5" t="str">
        <f t="shared" si="6"/>
        <v>P5</v>
      </c>
      <c r="B820" s="7">
        <v>190.0</v>
      </c>
      <c r="C820" s="17" t="s">
        <v>823</v>
      </c>
      <c r="D820" s="18" t="s">
        <v>7</v>
      </c>
      <c r="E820" s="19">
        <v>10.0</v>
      </c>
      <c r="F820" s="5">
        <f>IFERROR(__xludf.DUMMYFUNCTION("""COMPUTED_VALUE"""),1.84742710000136)</f>
        <v>1.8474271</v>
      </c>
    </row>
    <row r="821">
      <c r="A821" s="5" t="str">
        <f t="shared" si="6"/>
        <v>P5</v>
      </c>
      <c r="B821" s="7">
        <v>191.0</v>
      </c>
      <c r="C821" s="17" t="s">
        <v>824</v>
      </c>
      <c r="D821" s="18" t="s">
        <v>7</v>
      </c>
      <c r="E821" s="19">
        <v>5.0</v>
      </c>
      <c r="F821" s="5">
        <f>IFERROR(__xludf.DUMMYFUNCTION("""COMPUTED_VALUE"""),2.01867859999765)</f>
        <v>2.0186786</v>
      </c>
    </row>
    <row r="822">
      <c r="A822" s="5" t="str">
        <f t="shared" si="6"/>
        <v>P5</v>
      </c>
      <c r="B822" s="7">
        <v>192.0</v>
      </c>
      <c r="C822" s="17" t="s">
        <v>825</v>
      </c>
      <c r="D822" s="18" t="s">
        <v>7</v>
      </c>
      <c r="E822" s="19">
        <v>10.0</v>
      </c>
      <c r="F822" s="5">
        <f>IFERROR(__xludf.DUMMYFUNCTION("""COMPUTED_VALUE"""),1.30857199999445)</f>
        <v>1.308572</v>
      </c>
    </row>
    <row r="823">
      <c r="A823" s="5" t="str">
        <f t="shared" si="6"/>
        <v>P5</v>
      </c>
      <c r="B823" s="7">
        <v>193.0</v>
      </c>
      <c r="C823" s="17" t="s">
        <v>826</v>
      </c>
      <c r="D823" s="18" t="s">
        <v>7</v>
      </c>
      <c r="E823" s="19">
        <v>5.0</v>
      </c>
      <c r="F823" s="5">
        <f>IFERROR(__xludf.DUMMYFUNCTION("""COMPUTED_VALUE"""),1.55187979999755)</f>
        <v>1.5518798</v>
      </c>
    </row>
    <row r="824">
      <c r="A824" s="5" t="str">
        <f t="shared" si="6"/>
        <v>P5</v>
      </c>
      <c r="B824" s="7">
        <v>194.0</v>
      </c>
      <c r="C824" s="17" t="s">
        <v>827</v>
      </c>
      <c r="D824" s="18" t="s">
        <v>7</v>
      </c>
      <c r="E824" s="19">
        <v>10.0</v>
      </c>
      <c r="F824" s="5">
        <f>IFERROR(__xludf.DUMMYFUNCTION("""COMPUTED_VALUE"""),1.18972070000018)</f>
        <v>1.1897207</v>
      </c>
    </row>
    <row r="825">
      <c r="A825" s="5" t="str">
        <f t="shared" si="6"/>
        <v>P5</v>
      </c>
      <c r="B825" s="7">
        <v>195.0</v>
      </c>
      <c r="C825" s="17" t="s">
        <v>828</v>
      </c>
      <c r="D825" s="18" t="s">
        <v>7</v>
      </c>
      <c r="E825" s="19">
        <v>10.0</v>
      </c>
      <c r="F825" s="5">
        <f>IFERROR(__xludf.DUMMYFUNCTION("""COMPUTED_VALUE"""),2.22802599999704)</f>
        <v>2.228026</v>
      </c>
    </row>
    <row r="826">
      <c r="A826" s="5" t="str">
        <f t="shared" si="6"/>
        <v>P5</v>
      </c>
      <c r="B826" s="7">
        <v>196.0</v>
      </c>
      <c r="C826" s="17" t="s">
        <v>829</v>
      </c>
      <c r="D826" s="18" t="s">
        <v>7</v>
      </c>
      <c r="E826" s="19">
        <v>10.0</v>
      </c>
      <c r="F826" s="5">
        <f>IFERROR(__xludf.DUMMYFUNCTION("""COMPUTED_VALUE"""),1.34343470000021)</f>
        <v>1.3434347</v>
      </c>
    </row>
    <row r="827">
      <c r="A827" s="5" t="str">
        <f t="shared" si="6"/>
        <v>P5</v>
      </c>
      <c r="B827" s="7">
        <v>198.0</v>
      </c>
      <c r="C827" s="17" t="s">
        <v>830</v>
      </c>
      <c r="D827" s="18" t="s">
        <v>7</v>
      </c>
      <c r="E827" s="19">
        <v>5.0</v>
      </c>
      <c r="F827" s="5">
        <f>IFERROR(__xludf.DUMMYFUNCTION("""COMPUTED_VALUE"""),2.19955059999483)</f>
        <v>2.1995506</v>
      </c>
    </row>
    <row r="828">
      <c r="A828" s="5" t="str">
        <f t="shared" si="6"/>
        <v>P5</v>
      </c>
      <c r="B828" s="7">
        <v>199.0</v>
      </c>
      <c r="C828" s="17" t="s">
        <v>831</v>
      </c>
      <c r="D828" s="18" t="s">
        <v>7</v>
      </c>
      <c r="E828" s="19">
        <v>10.0</v>
      </c>
      <c r="F828" s="5">
        <f>IFERROR(__xludf.DUMMYFUNCTION("""COMPUTED_VALUE"""),1.7856516999891)</f>
        <v>1.7856517</v>
      </c>
    </row>
    <row r="829">
      <c r="C829" s="20"/>
      <c r="D829" s="20"/>
      <c r="E829" s="20"/>
      <c r="F829" s="5"/>
    </row>
    <row r="830">
      <c r="C830" s="20"/>
      <c r="D830" s="20"/>
      <c r="E830" s="20"/>
      <c r="F830" s="20"/>
    </row>
    <row r="831">
      <c r="C831" s="20"/>
      <c r="D831" s="20"/>
      <c r="E831" s="20"/>
      <c r="F831" s="20"/>
    </row>
    <row r="832">
      <c r="C832" s="20"/>
      <c r="D832" s="20"/>
      <c r="E832" s="20"/>
      <c r="F832" s="20"/>
    </row>
    <row r="833">
      <c r="C833" s="20"/>
      <c r="D833" s="20"/>
      <c r="E833" s="20"/>
      <c r="F833" s="20"/>
    </row>
    <row r="834">
      <c r="C834" s="20"/>
      <c r="D834" s="20"/>
      <c r="E834" s="20"/>
      <c r="F834" s="20"/>
    </row>
    <row r="835">
      <c r="C835" s="20"/>
      <c r="D835" s="20"/>
      <c r="E835" s="20"/>
      <c r="F835" s="20"/>
    </row>
    <row r="836">
      <c r="C836" s="20"/>
      <c r="D836" s="20"/>
      <c r="E836" s="20"/>
      <c r="F836" s="20"/>
    </row>
    <row r="837">
      <c r="C837" s="20"/>
      <c r="D837" s="20"/>
      <c r="E837" s="20"/>
      <c r="F837" s="20"/>
    </row>
    <row r="838">
      <c r="C838" s="20"/>
      <c r="D838" s="20"/>
      <c r="E838" s="20"/>
      <c r="F838" s="20"/>
    </row>
    <row r="839">
      <c r="C839" s="20"/>
      <c r="D839" s="20"/>
      <c r="E839" s="20"/>
      <c r="F839" s="20"/>
    </row>
    <row r="840">
      <c r="C840" s="20"/>
      <c r="D840" s="20"/>
      <c r="E840" s="20"/>
      <c r="F840" s="20"/>
    </row>
    <row r="841">
      <c r="C841" s="20"/>
      <c r="D841" s="20"/>
      <c r="E841" s="20"/>
      <c r="F841" s="20"/>
    </row>
    <row r="842">
      <c r="C842" s="20"/>
      <c r="D842" s="20"/>
      <c r="E842" s="20"/>
      <c r="F842" s="20"/>
    </row>
    <row r="843">
      <c r="C843" s="20"/>
      <c r="D843" s="20"/>
      <c r="E843" s="20"/>
      <c r="F843" s="20"/>
    </row>
    <row r="844">
      <c r="C844" s="20"/>
      <c r="D844" s="20"/>
      <c r="E844" s="20"/>
      <c r="F844" s="20"/>
    </row>
    <row r="845">
      <c r="C845" s="20"/>
      <c r="D845" s="20"/>
      <c r="E845" s="20"/>
      <c r="F845" s="20"/>
    </row>
    <row r="846">
      <c r="C846" s="20"/>
      <c r="D846" s="20"/>
      <c r="E846" s="20"/>
      <c r="F846" s="20"/>
    </row>
    <row r="847">
      <c r="C847" s="20"/>
      <c r="D847" s="20"/>
      <c r="E847" s="20"/>
      <c r="F847" s="20"/>
    </row>
    <row r="848">
      <c r="C848" s="20"/>
      <c r="D848" s="20"/>
      <c r="E848" s="20"/>
      <c r="F848" s="20"/>
    </row>
    <row r="849">
      <c r="C849" s="20"/>
      <c r="D849" s="20"/>
      <c r="E849" s="20"/>
      <c r="F849" s="20"/>
    </row>
    <row r="850">
      <c r="C850" s="20"/>
      <c r="D850" s="20"/>
      <c r="E850" s="20"/>
      <c r="F850" s="20"/>
    </row>
    <row r="851">
      <c r="C851" s="20"/>
      <c r="D851" s="20"/>
      <c r="E851" s="20"/>
      <c r="F851" s="20"/>
    </row>
    <row r="852">
      <c r="C852" s="20"/>
      <c r="D852" s="20"/>
      <c r="E852" s="20"/>
      <c r="F852" s="20"/>
    </row>
    <row r="853">
      <c r="C853" s="20"/>
      <c r="D853" s="20"/>
      <c r="E853" s="20"/>
      <c r="F853" s="20"/>
    </row>
    <row r="854">
      <c r="C854" s="20"/>
      <c r="D854" s="20"/>
      <c r="E854" s="20"/>
      <c r="F854" s="20"/>
    </row>
    <row r="855">
      <c r="C855" s="20"/>
      <c r="D855" s="20"/>
      <c r="E855" s="20"/>
      <c r="F855" s="20"/>
    </row>
    <row r="856">
      <c r="C856" s="20"/>
      <c r="D856" s="20"/>
      <c r="E856" s="20"/>
      <c r="F856" s="20"/>
    </row>
    <row r="857">
      <c r="C857" s="20"/>
      <c r="D857" s="20"/>
      <c r="E857" s="20"/>
      <c r="F857" s="20"/>
    </row>
    <row r="858">
      <c r="C858" s="20"/>
      <c r="D858" s="20"/>
      <c r="E858" s="20"/>
      <c r="F858" s="20"/>
    </row>
    <row r="859">
      <c r="C859" s="20"/>
      <c r="D859" s="20"/>
      <c r="E859" s="20"/>
      <c r="F859" s="20"/>
    </row>
    <row r="860">
      <c r="C860" s="20"/>
      <c r="D860" s="20"/>
      <c r="E860" s="20"/>
      <c r="F860" s="20"/>
    </row>
    <row r="861">
      <c r="C861" s="20"/>
      <c r="D861" s="20"/>
      <c r="E861" s="20"/>
      <c r="F861" s="20"/>
    </row>
    <row r="862">
      <c r="C862" s="20"/>
      <c r="D862" s="20"/>
      <c r="E862" s="20"/>
      <c r="F862" s="20"/>
    </row>
    <row r="863">
      <c r="C863" s="20"/>
      <c r="D863" s="20"/>
      <c r="E863" s="20"/>
      <c r="F863" s="20"/>
    </row>
    <row r="864">
      <c r="C864" s="20"/>
      <c r="D864" s="20"/>
      <c r="E864" s="20"/>
      <c r="F864" s="20"/>
    </row>
    <row r="865">
      <c r="C865" s="20"/>
      <c r="D865" s="20"/>
      <c r="E865" s="20"/>
      <c r="F865" s="20"/>
    </row>
    <row r="866">
      <c r="C866" s="20"/>
      <c r="D866" s="20"/>
      <c r="E866" s="20"/>
      <c r="F866" s="20"/>
    </row>
    <row r="867">
      <c r="C867" s="20"/>
      <c r="D867" s="20"/>
      <c r="E867" s="20"/>
      <c r="F867" s="20"/>
    </row>
    <row r="868">
      <c r="C868" s="20"/>
      <c r="D868" s="20"/>
      <c r="E868" s="20"/>
      <c r="F868" s="20"/>
    </row>
    <row r="869">
      <c r="C869" s="20"/>
      <c r="D869" s="20"/>
      <c r="E869" s="20"/>
      <c r="F869" s="20"/>
    </row>
    <row r="870">
      <c r="C870" s="20"/>
      <c r="D870" s="20"/>
      <c r="E870" s="20"/>
      <c r="F870" s="20"/>
    </row>
    <row r="871">
      <c r="C871" s="20"/>
      <c r="D871" s="20"/>
      <c r="E871" s="20"/>
      <c r="F871" s="20"/>
    </row>
    <row r="872">
      <c r="C872" s="20"/>
      <c r="D872" s="20"/>
      <c r="E872" s="20"/>
      <c r="F872" s="20"/>
    </row>
    <row r="873">
      <c r="C873" s="20"/>
      <c r="D873" s="20"/>
      <c r="E873" s="20"/>
      <c r="F873" s="20"/>
    </row>
    <row r="874">
      <c r="C874" s="20"/>
      <c r="D874" s="20"/>
      <c r="E874" s="20"/>
      <c r="F874" s="20"/>
    </row>
    <row r="875">
      <c r="C875" s="20"/>
      <c r="D875" s="20"/>
      <c r="E875" s="20"/>
      <c r="F875" s="20"/>
    </row>
    <row r="876">
      <c r="C876" s="20"/>
      <c r="D876" s="20"/>
      <c r="E876" s="20"/>
      <c r="F876" s="20"/>
    </row>
    <row r="877">
      <c r="C877" s="20"/>
      <c r="D877" s="20"/>
      <c r="E877" s="20"/>
      <c r="F877" s="20"/>
    </row>
    <row r="878">
      <c r="C878" s="20"/>
      <c r="D878" s="20"/>
      <c r="E878" s="20"/>
      <c r="F878" s="20"/>
    </row>
    <row r="879">
      <c r="C879" s="20"/>
      <c r="D879" s="20"/>
      <c r="E879" s="20"/>
      <c r="F879" s="20"/>
    </row>
    <row r="880">
      <c r="C880" s="20"/>
      <c r="D880" s="20"/>
      <c r="E880" s="20"/>
      <c r="F880" s="20"/>
    </row>
    <row r="881">
      <c r="C881" s="20"/>
      <c r="D881" s="20"/>
      <c r="E881" s="20"/>
      <c r="F881" s="20"/>
    </row>
    <row r="882">
      <c r="C882" s="20"/>
      <c r="D882" s="20"/>
      <c r="E882" s="20"/>
      <c r="F882" s="20"/>
    </row>
    <row r="883">
      <c r="C883" s="20"/>
      <c r="D883" s="20"/>
      <c r="E883" s="20"/>
      <c r="F883" s="20"/>
    </row>
    <row r="884">
      <c r="C884" s="20"/>
      <c r="D884" s="20"/>
      <c r="E884" s="20"/>
      <c r="F884" s="20"/>
    </row>
    <row r="885">
      <c r="C885" s="20"/>
      <c r="D885" s="20"/>
      <c r="E885" s="20"/>
      <c r="F885" s="20"/>
    </row>
    <row r="886">
      <c r="C886" s="20"/>
      <c r="D886" s="20"/>
      <c r="E886" s="20"/>
      <c r="F886" s="20"/>
    </row>
    <row r="887">
      <c r="C887" s="20"/>
      <c r="D887" s="20"/>
      <c r="E887" s="20"/>
      <c r="F887" s="20"/>
    </row>
    <row r="888">
      <c r="C888" s="20"/>
      <c r="D888" s="20"/>
      <c r="E888" s="20"/>
      <c r="F888" s="20"/>
    </row>
    <row r="889">
      <c r="C889" s="20"/>
      <c r="D889" s="20"/>
      <c r="E889" s="20"/>
      <c r="F889" s="20"/>
    </row>
    <row r="890">
      <c r="C890" s="20"/>
      <c r="D890" s="20"/>
      <c r="E890" s="20"/>
      <c r="F890" s="20"/>
    </row>
    <row r="891">
      <c r="C891" s="20"/>
      <c r="D891" s="20"/>
      <c r="E891" s="20"/>
      <c r="F891" s="20"/>
    </row>
    <row r="892">
      <c r="C892" s="20"/>
      <c r="D892" s="20"/>
      <c r="E892" s="20"/>
      <c r="F892" s="20"/>
    </row>
    <row r="893">
      <c r="C893" s="20"/>
      <c r="D893" s="20"/>
      <c r="E893" s="20"/>
      <c r="F893" s="20"/>
    </row>
    <row r="894">
      <c r="C894" s="20"/>
      <c r="D894" s="20"/>
      <c r="E894" s="20"/>
      <c r="F894" s="20"/>
    </row>
    <row r="895">
      <c r="C895" s="20"/>
      <c r="D895" s="20"/>
      <c r="E895" s="20"/>
      <c r="F895" s="20"/>
    </row>
    <row r="896">
      <c r="C896" s="20"/>
      <c r="D896" s="20"/>
      <c r="E896" s="20"/>
      <c r="F896" s="20"/>
    </row>
    <row r="897">
      <c r="C897" s="20"/>
      <c r="D897" s="20"/>
      <c r="E897" s="20"/>
      <c r="F897" s="20"/>
    </row>
    <row r="898">
      <c r="C898" s="20"/>
      <c r="D898" s="20"/>
      <c r="E898" s="20"/>
      <c r="F898" s="20"/>
    </row>
    <row r="899">
      <c r="C899" s="20"/>
      <c r="D899" s="20"/>
      <c r="E899" s="20"/>
      <c r="F899" s="20"/>
    </row>
    <row r="900">
      <c r="C900" s="20"/>
      <c r="D900" s="20"/>
      <c r="E900" s="20"/>
      <c r="F900" s="20"/>
    </row>
    <row r="901">
      <c r="C901" s="20"/>
      <c r="D901" s="20"/>
      <c r="E901" s="20"/>
      <c r="F901" s="20"/>
    </row>
    <row r="902">
      <c r="C902" s="20"/>
      <c r="D902" s="20"/>
      <c r="E902" s="20"/>
      <c r="F902" s="20"/>
    </row>
    <row r="903">
      <c r="C903" s="20"/>
      <c r="D903" s="20"/>
      <c r="E903" s="20"/>
      <c r="F903" s="20"/>
    </row>
    <row r="904">
      <c r="C904" s="20"/>
      <c r="D904" s="20"/>
      <c r="E904" s="20"/>
      <c r="F904" s="20"/>
    </row>
    <row r="905">
      <c r="C905" s="20"/>
      <c r="D905" s="20"/>
      <c r="E905" s="20"/>
      <c r="F905" s="20"/>
    </row>
    <row r="906">
      <c r="C906" s="20"/>
      <c r="D906" s="20"/>
      <c r="E906" s="20"/>
      <c r="F906" s="20"/>
    </row>
    <row r="907">
      <c r="C907" s="20"/>
      <c r="D907" s="20"/>
      <c r="E907" s="20"/>
      <c r="F907" s="20"/>
    </row>
    <row r="908">
      <c r="C908" s="20"/>
      <c r="D908" s="20"/>
      <c r="E908" s="20"/>
      <c r="F908" s="20"/>
    </row>
    <row r="909">
      <c r="C909" s="20"/>
      <c r="D909" s="20"/>
      <c r="E909" s="20"/>
      <c r="F909" s="20"/>
    </row>
    <row r="910">
      <c r="C910" s="20"/>
      <c r="D910" s="20"/>
      <c r="E910" s="20"/>
      <c r="F910" s="20"/>
    </row>
    <row r="911">
      <c r="C911" s="20"/>
      <c r="D911" s="20"/>
      <c r="E911" s="20"/>
      <c r="F911" s="20"/>
    </row>
    <row r="912">
      <c r="C912" s="20"/>
      <c r="D912" s="20"/>
      <c r="E912" s="20"/>
      <c r="F912" s="20"/>
    </row>
    <row r="913">
      <c r="C913" s="20"/>
      <c r="D913" s="20"/>
      <c r="E913" s="20"/>
      <c r="F913" s="20"/>
    </row>
    <row r="914">
      <c r="C914" s="20"/>
      <c r="D914" s="20"/>
      <c r="E914" s="20"/>
      <c r="F914" s="20"/>
    </row>
    <row r="915">
      <c r="C915" s="20"/>
      <c r="D915" s="20"/>
      <c r="E915" s="20"/>
      <c r="F915" s="20"/>
    </row>
    <row r="916">
      <c r="C916" s="20"/>
      <c r="D916" s="20"/>
      <c r="E916" s="20"/>
      <c r="F916" s="20"/>
    </row>
    <row r="917">
      <c r="C917" s="20"/>
      <c r="D917" s="20"/>
      <c r="E917" s="20"/>
      <c r="F917" s="20"/>
    </row>
    <row r="918">
      <c r="C918" s="20"/>
      <c r="D918" s="20"/>
      <c r="E918" s="20"/>
      <c r="F918" s="20"/>
    </row>
    <row r="919">
      <c r="C919" s="20"/>
      <c r="D919" s="20"/>
      <c r="E919" s="20"/>
      <c r="F919" s="20"/>
    </row>
    <row r="920">
      <c r="C920" s="20"/>
      <c r="D920" s="20"/>
      <c r="E920" s="20"/>
      <c r="F920" s="20"/>
    </row>
    <row r="921">
      <c r="C921" s="20"/>
      <c r="D921" s="20"/>
      <c r="E921" s="20"/>
      <c r="F921" s="20"/>
    </row>
    <row r="922">
      <c r="C922" s="20"/>
      <c r="D922" s="20"/>
      <c r="E922" s="20"/>
      <c r="F922" s="20"/>
    </row>
    <row r="923">
      <c r="C923" s="20"/>
      <c r="D923" s="20"/>
      <c r="E923" s="20"/>
      <c r="F923" s="20"/>
    </row>
    <row r="924">
      <c r="C924" s="20"/>
      <c r="D924" s="20"/>
      <c r="E924" s="20"/>
      <c r="F924" s="20"/>
    </row>
    <row r="925">
      <c r="C925" s="20"/>
      <c r="D925" s="20"/>
      <c r="E925" s="20"/>
      <c r="F925" s="20"/>
    </row>
    <row r="926">
      <c r="C926" s="20"/>
      <c r="D926" s="20"/>
      <c r="E926" s="20"/>
      <c r="F926" s="20"/>
    </row>
    <row r="927">
      <c r="C927" s="20"/>
      <c r="D927" s="20"/>
      <c r="E927" s="20"/>
      <c r="F927" s="20"/>
    </row>
    <row r="928">
      <c r="C928" s="20"/>
      <c r="D928" s="20"/>
      <c r="E928" s="20"/>
      <c r="F928" s="20"/>
    </row>
    <row r="929">
      <c r="C929" s="20"/>
      <c r="D929" s="20"/>
      <c r="E929" s="20"/>
      <c r="F929" s="20"/>
    </row>
    <row r="930">
      <c r="C930" s="20"/>
      <c r="D930" s="20"/>
      <c r="E930" s="20"/>
      <c r="F930" s="20"/>
    </row>
    <row r="931">
      <c r="C931" s="20"/>
      <c r="D931" s="20"/>
      <c r="E931" s="20"/>
      <c r="F931" s="20"/>
    </row>
    <row r="932">
      <c r="C932" s="20"/>
      <c r="D932" s="20"/>
      <c r="E932" s="20"/>
      <c r="F932" s="20"/>
    </row>
    <row r="933">
      <c r="C933" s="20"/>
      <c r="D933" s="20"/>
      <c r="E933" s="20"/>
      <c r="F933" s="20"/>
    </row>
    <row r="934">
      <c r="C934" s="20"/>
      <c r="D934" s="20"/>
      <c r="E934" s="20"/>
      <c r="F934" s="20"/>
    </row>
    <row r="935">
      <c r="C935" s="20"/>
      <c r="D935" s="20"/>
      <c r="E935" s="20"/>
      <c r="F935" s="20"/>
    </row>
    <row r="936">
      <c r="C936" s="20"/>
      <c r="D936" s="20"/>
      <c r="E936" s="20"/>
      <c r="F936" s="20"/>
    </row>
    <row r="937">
      <c r="C937" s="20"/>
      <c r="D937" s="20"/>
      <c r="E937" s="20"/>
      <c r="F937" s="20"/>
    </row>
    <row r="938">
      <c r="C938" s="20"/>
      <c r="D938" s="20"/>
      <c r="E938" s="20"/>
      <c r="F938" s="20"/>
    </row>
    <row r="939">
      <c r="C939" s="20"/>
      <c r="D939" s="20"/>
      <c r="E939" s="20"/>
      <c r="F939" s="20"/>
    </row>
    <row r="940">
      <c r="C940" s="20"/>
      <c r="D940" s="20"/>
      <c r="E940" s="20"/>
      <c r="F940" s="20"/>
    </row>
    <row r="941">
      <c r="C941" s="20"/>
      <c r="D941" s="20"/>
      <c r="E941" s="20"/>
      <c r="F941" s="20"/>
    </row>
    <row r="942">
      <c r="C942" s="20"/>
      <c r="D942" s="20"/>
      <c r="E942" s="20"/>
      <c r="F942" s="20"/>
    </row>
    <row r="943">
      <c r="C943" s="20"/>
      <c r="D943" s="20"/>
      <c r="E943" s="20"/>
      <c r="F943" s="20"/>
    </row>
    <row r="944">
      <c r="C944" s="20"/>
      <c r="D944" s="20"/>
      <c r="E944" s="20"/>
      <c r="F944" s="20"/>
    </row>
    <row r="945">
      <c r="C945" s="20"/>
      <c r="D945" s="20"/>
      <c r="E945" s="20"/>
      <c r="F945" s="20"/>
    </row>
    <row r="946">
      <c r="C946" s="20"/>
      <c r="D946" s="20"/>
      <c r="E946" s="20"/>
      <c r="F946" s="20"/>
    </row>
    <row r="947">
      <c r="C947" s="20"/>
      <c r="D947" s="20"/>
      <c r="E947" s="20"/>
      <c r="F947" s="20"/>
    </row>
    <row r="948">
      <c r="C948" s="20"/>
      <c r="D948" s="20"/>
      <c r="E948" s="20"/>
      <c r="F948" s="20"/>
    </row>
    <row r="949">
      <c r="C949" s="20"/>
      <c r="D949" s="20"/>
      <c r="E949" s="20"/>
      <c r="F949" s="20"/>
    </row>
    <row r="950">
      <c r="C950" s="20"/>
      <c r="D950" s="20"/>
      <c r="E950" s="20"/>
      <c r="F950" s="20"/>
    </row>
    <row r="951">
      <c r="C951" s="20"/>
      <c r="D951" s="20"/>
      <c r="E951" s="20"/>
      <c r="F951" s="20"/>
    </row>
    <row r="952">
      <c r="C952" s="20"/>
      <c r="D952" s="20"/>
      <c r="E952" s="20"/>
      <c r="F952" s="20"/>
    </row>
    <row r="953">
      <c r="C953" s="20"/>
      <c r="D953" s="20"/>
      <c r="E953" s="20"/>
      <c r="F953" s="20"/>
    </row>
    <row r="954">
      <c r="C954" s="20"/>
      <c r="D954" s="20"/>
      <c r="E954" s="20"/>
      <c r="F954" s="20"/>
    </row>
    <row r="955">
      <c r="C955" s="20"/>
      <c r="D955" s="20"/>
      <c r="E955" s="20"/>
      <c r="F955" s="20"/>
    </row>
    <row r="956">
      <c r="C956" s="20"/>
      <c r="D956" s="20"/>
      <c r="E956" s="20"/>
      <c r="F956" s="20"/>
    </row>
    <row r="957">
      <c r="C957" s="20"/>
      <c r="D957" s="20"/>
      <c r="E957" s="20"/>
      <c r="F957" s="20"/>
    </row>
    <row r="958">
      <c r="C958" s="20"/>
      <c r="D958" s="20"/>
      <c r="E958" s="20"/>
      <c r="F958" s="20"/>
    </row>
    <row r="959">
      <c r="C959" s="20"/>
      <c r="D959" s="20"/>
      <c r="E959" s="20"/>
      <c r="F959" s="20"/>
    </row>
    <row r="960">
      <c r="C960" s="20"/>
      <c r="D960" s="20"/>
      <c r="E960" s="20"/>
      <c r="F960" s="20"/>
    </row>
    <row r="961">
      <c r="C961" s="20"/>
      <c r="D961" s="20"/>
      <c r="E961" s="20"/>
      <c r="F961" s="20"/>
    </row>
    <row r="962">
      <c r="C962" s="20"/>
      <c r="D962" s="20"/>
      <c r="E962" s="20"/>
      <c r="F962" s="20"/>
    </row>
    <row r="963">
      <c r="C963" s="20"/>
      <c r="D963" s="20"/>
      <c r="E963" s="20"/>
      <c r="F963" s="20"/>
    </row>
    <row r="964">
      <c r="C964" s="20"/>
      <c r="D964" s="20"/>
      <c r="E964" s="20"/>
      <c r="F964" s="20"/>
    </row>
    <row r="965">
      <c r="C965" s="20"/>
      <c r="D965" s="20"/>
      <c r="E965" s="20"/>
      <c r="F965" s="20"/>
    </row>
    <row r="966">
      <c r="C966" s="20"/>
      <c r="D966" s="20"/>
      <c r="E966" s="20"/>
      <c r="F966" s="20"/>
    </row>
    <row r="967">
      <c r="C967" s="20"/>
      <c r="D967" s="20"/>
      <c r="E967" s="20"/>
      <c r="F967" s="20"/>
    </row>
    <row r="968">
      <c r="C968" s="20"/>
      <c r="D968" s="20"/>
      <c r="E968" s="20"/>
      <c r="F968" s="20"/>
    </row>
    <row r="969">
      <c r="C969" s="20"/>
      <c r="D969" s="20"/>
      <c r="E969" s="20"/>
      <c r="F969" s="20"/>
    </row>
    <row r="970">
      <c r="C970" s="20"/>
      <c r="D970" s="20"/>
      <c r="E970" s="20"/>
      <c r="F970" s="20"/>
    </row>
    <row r="971">
      <c r="C971" s="20"/>
      <c r="D971" s="20"/>
      <c r="E971" s="20"/>
      <c r="F971" s="20"/>
    </row>
    <row r="972">
      <c r="C972" s="20"/>
      <c r="D972" s="20"/>
      <c r="E972" s="20"/>
      <c r="F972" s="20"/>
    </row>
    <row r="973">
      <c r="C973" s="20"/>
      <c r="D973" s="20"/>
      <c r="E973" s="20"/>
      <c r="F973" s="20"/>
    </row>
    <row r="974">
      <c r="C974" s="20"/>
      <c r="D974" s="20"/>
      <c r="E974" s="20"/>
      <c r="F974" s="20"/>
    </row>
    <row r="975">
      <c r="C975" s="20"/>
      <c r="D975" s="20"/>
      <c r="E975" s="20"/>
      <c r="F975" s="20"/>
    </row>
    <row r="976">
      <c r="C976" s="20"/>
      <c r="D976" s="20"/>
      <c r="E976" s="20"/>
      <c r="F976" s="20"/>
    </row>
    <row r="977">
      <c r="C977" s="20"/>
      <c r="D977" s="20"/>
      <c r="E977" s="20"/>
      <c r="F977" s="20"/>
    </row>
    <row r="978">
      <c r="C978" s="20"/>
      <c r="D978" s="20"/>
      <c r="E978" s="20"/>
      <c r="F978" s="20"/>
    </row>
    <row r="979">
      <c r="C979" s="20"/>
      <c r="D979" s="20"/>
      <c r="E979" s="20"/>
      <c r="F979" s="20"/>
    </row>
    <row r="980">
      <c r="C980" s="20"/>
      <c r="D980" s="20"/>
      <c r="E980" s="20"/>
      <c r="F980" s="20"/>
    </row>
    <row r="981">
      <c r="C981" s="20"/>
      <c r="D981" s="20"/>
      <c r="E981" s="20"/>
      <c r="F981" s="20"/>
    </row>
    <row r="982">
      <c r="C982" s="20"/>
      <c r="D982" s="20"/>
      <c r="E982" s="20"/>
      <c r="F982" s="20"/>
    </row>
    <row r="983">
      <c r="C983" s="20"/>
      <c r="D983" s="20"/>
      <c r="E983" s="20"/>
      <c r="F983" s="20"/>
    </row>
    <row r="984">
      <c r="C984" s="20"/>
      <c r="D984" s="20"/>
      <c r="E984" s="20"/>
      <c r="F984" s="20"/>
    </row>
    <row r="985">
      <c r="C985" s="20"/>
      <c r="D985" s="20"/>
      <c r="E985" s="20"/>
      <c r="F985" s="20"/>
    </row>
    <row r="986">
      <c r="C986" s="20"/>
      <c r="D986" s="20"/>
      <c r="E986" s="20"/>
      <c r="F986" s="20"/>
    </row>
    <row r="987">
      <c r="C987" s="20"/>
      <c r="D987" s="20"/>
      <c r="E987" s="20"/>
      <c r="F987" s="20"/>
    </row>
    <row r="988">
      <c r="C988" s="20"/>
      <c r="D988" s="20"/>
      <c r="E988" s="20"/>
      <c r="F988" s="20"/>
    </row>
    <row r="989">
      <c r="C989" s="20"/>
      <c r="D989" s="20"/>
      <c r="E989" s="20"/>
      <c r="F989" s="20"/>
    </row>
    <row r="990">
      <c r="C990" s="20"/>
      <c r="D990" s="20"/>
      <c r="E990" s="20"/>
      <c r="F990" s="20"/>
    </row>
    <row r="991">
      <c r="C991" s="20"/>
      <c r="D991" s="20"/>
      <c r="E991" s="20"/>
      <c r="F991" s="20"/>
    </row>
    <row r="992">
      <c r="C992" s="20"/>
      <c r="D992" s="20"/>
      <c r="E992" s="20"/>
      <c r="F992" s="20"/>
    </row>
    <row r="993">
      <c r="C993" s="20"/>
      <c r="D993" s="20"/>
      <c r="E993" s="20"/>
      <c r="F993" s="20"/>
    </row>
    <row r="994">
      <c r="C994" s="20"/>
      <c r="D994" s="20"/>
      <c r="E994" s="20"/>
      <c r="F994" s="20"/>
    </row>
    <row r="995">
      <c r="C995" s="20"/>
      <c r="D995" s="20"/>
      <c r="E995" s="20"/>
      <c r="F995" s="20"/>
    </row>
    <row r="996">
      <c r="C996" s="20"/>
      <c r="D996" s="20"/>
      <c r="E996" s="20"/>
      <c r="F996" s="20"/>
    </row>
    <row r="997">
      <c r="C997" s="20"/>
      <c r="D997" s="20"/>
      <c r="E997" s="20"/>
      <c r="F997" s="20"/>
    </row>
    <row r="998">
      <c r="C998" s="20"/>
      <c r="D998" s="20"/>
      <c r="E998" s="20"/>
      <c r="F998" s="20"/>
    </row>
    <row r="999">
      <c r="C999" s="20"/>
      <c r="D999" s="20"/>
      <c r="E999" s="20"/>
      <c r="F999" s="20"/>
    </row>
    <row r="1000">
      <c r="C1000" s="20"/>
      <c r="D1000" s="20"/>
      <c r="E1000" s="20"/>
      <c r="F1000" s="20"/>
    </row>
    <row r="1001">
      <c r="C1001" s="20"/>
      <c r="D1001" s="20"/>
      <c r="E1001" s="20"/>
      <c r="F1001" s="20"/>
    </row>
    <row r="1002">
      <c r="C1002" s="20"/>
      <c r="D1002" s="20"/>
      <c r="E1002" s="20"/>
      <c r="F1002" s="20"/>
    </row>
    <row r="1003">
      <c r="C1003" s="20"/>
      <c r="D1003" s="20"/>
      <c r="E1003" s="20"/>
      <c r="F1003" s="20"/>
    </row>
    <row r="1004">
      <c r="C1004" s="20"/>
      <c r="D1004" s="20"/>
      <c r="E1004" s="20"/>
      <c r="F1004" s="20"/>
    </row>
    <row r="1005">
      <c r="C1005" s="20"/>
      <c r="D1005" s="20"/>
      <c r="E1005" s="20"/>
      <c r="F1005" s="20"/>
    </row>
    <row r="1006">
      <c r="C1006" s="20"/>
      <c r="D1006" s="20"/>
      <c r="E1006" s="20"/>
      <c r="F1006" s="20"/>
    </row>
    <row r="1007">
      <c r="C1007" s="20"/>
      <c r="D1007" s="20"/>
      <c r="E1007" s="20"/>
      <c r="F1007" s="20"/>
    </row>
    <row r="1008">
      <c r="C1008" s="20"/>
      <c r="D1008" s="20"/>
      <c r="E1008" s="20"/>
      <c r="F1008" s="20"/>
    </row>
    <row r="1009">
      <c r="C1009" s="20"/>
      <c r="D1009" s="20"/>
      <c r="E1009" s="20"/>
      <c r="F1009" s="20"/>
    </row>
    <row r="1010">
      <c r="C1010" s="20"/>
      <c r="D1010" s="20"/>
      <c r="E1010" s="20"/>
      <c r="F1010" s="20"/>
    </row>
    <row r="1011">
      <c r="C1011" s="20"/>
      <c r="D1011" s="20"/>
      <c r="E1011" s="20"/>
      <c r="F1011" s="20"/>
    </row>
    <row r="1012">
      <c r="C1012" s="20"/>
      <c r="D1012" s="20"/>
      <c r="E1012" s="20"/>
      <c r="F1012" s="20"/>
    </row>
    <row r="1013">
      <c r="C1013" s="20"/>
      <c r="D1013" s="20"/>
      <c r="E1013" s="20"/>
      <c r="F1013" s="20"/>
    </row>
    <row r="1014">
      <c r="C1014" s="20"/>
      <c r="D1014" s="20"/>
      <c r="E1014" s="20"/>
      <c r="F1014" s="20"/>
    </row>
    <row r="1015">
      <c r="C1015" s="20"/>
      <c r="D1015" s="20"/>
      <c r="E1015" s="20"/>
      <c r="F1015" s="20"/>
    </row>
    <row r="1016">
      <c r="C1016" s="20"/>
      <c r="D1016" s="20"/>
      <c r="E1016" s="20"/>
      <c r="F1016" s="20"/>
    </row>
    <row r="1017">
      <c r="C1017" s="20"/>
      <c r="D1017" s="20"/>
      <c r="E1017" s="20"/>
      <c r="F1017" s="20"/>
    </row>
    <row r="1018">
      <c r="C1018" s="20"/>
      <c r="D1018" s="20"/>
      <c r="E1018" s="20"/>
      <c r="F1018" s="20"/>
    </row>
    <row r="1019">
      <c r="C1019" s="20"/>
      <c r="D1019" s="20"/>
      <c r="E1019" s="20"/>
      <c r="F1019" s="20"/>
    </row>
    <row r="1020">
      <c r="C1020" s="20"/>
      <c r="D1020" s="20"/>
      <c r="E1020" s="20"/>
      <c r="F1020" s="20"/>
    </row>
    <row r="1021">
      <c r="C1021" s="20"/>
      <c r="D1021" s="20"/>
      <c r="E1021" s="20"/>
      <c r="F1021" s="20"/>
    </row>
    <row r="1022">
      <c r="C1022" s="20"/>
      <c r="D1022" s="20"/>
      <c r="E1022" s="20"/>
      <c r="F1022" s="20"/>
    </row>
    <row r="1023">
      <c r="C1023" s="20"/>
      <c r="D1023" s="20"/>
      <c r="E1023" s="20"/>
      <c r="F1023" s="20"/>
    </row>
    <row r="1024">
      <c r="C1024" s="20"/>
      <c r="D1024" s="20"/>
      <c r="E1024" s="20"/>
      <c r="F1024" s="20"/>
    </row>
    <row r="1025">
      <c r="C1025" s="20"/>
      <c r="D1025" s="20"/>
      <c r="E1025" s="20"/>
      <c r="F1025" s="20"/>
    </row>
    <row r="1026">
      <c r="C1026" s="20"/>
      <c r="D1026" s="20"/>
      <c r="E1026" s="20"/>
      <c r="F1026" s="20"/>
    </row>
    <row r="1027">
      <c r="C1027" s="20"/>
      <c r="D1027" s="20"/>
      <c r="E1027" s="20"/>
      <c r="F1027" s="20"/>
    </row>
    <row r="1028">
      <c r="C1028" s="20"/>
      <c r="D1028" s="20"/>
      <c r="E1028" s="20"/>
      <c r="F1028" s="20"/>
    </row>
    <row r="1029">
      <c r="C1029" s="20"/>
      <c r="D1029" s="20"/>
      <c r="E1029" s="20"/>
      <c r="F1029" s="20"/>
    </row>
    <row r="1030">
      <c r="C1030" s="20"/>
      <c r="D1030" s="20"/>
      <c r="E1030" s="20"/>
      <c r="F1030" s="20"/>
    </row>
    <row r="1031">
      <c r="C1031" s="20"/>
      <c r="D1031" s="20"/>
      <c r="E1031" s="20"/>
      <c r="F1031" s="20"/>
    </row>
    <row r="1032">
      <c r="C1032" s="20"/>
      <c r="D1032" s="20"/>
      <c r="E1032" s="20"/>
      <c r="F1032" s="20"/>
    </row>
    <row r="1033">
      <c r="C1033" s="20"/>
      <c r="D1033" s="20"/>
      <c r="E1033" s="20"/>
      <c r="F1033" s="20"/>
    </row>
    <row r="1034">
      <c r="C1034" s="20"/>
      <c r="D1034" s="20"/>
      <c r="E1034" s="20"/>
      <c r="F1034" s="20"/>
    </row>
    <row r="1035">
      <c r="C1035" s="20"/>
      <c r="D1035" s="20"/>
      <c r="E1035" s="20"/>
      <c r="F1035" s="20"/>
    </row>
    <row r="1036">
      <c r="C1036" s="20"/>
      <c r="D1036" s="20"/>
      <c r="E1036" s="20"/>
      <c r="F1036" s="20"/>
    </row>
    <row r="1037">
      <c r="C1037" s="20"/>
      <c r="D1037" s="20"/>
      <c r="E1037" s="20"/>
      <c r="F1037" s="20"/>
    </row>
    <row r="1038">
      <c r="C1038" s="20"/>
      <c r="D1038" s="20"/>
      <c r="E1038" s="20"/>
      <c r="F1038" s="20"/>
    </row>
    <row r="1039">
      <c r="C1039" s="20"/>
      <c r="D1039" s="20"/>
      <c r="E1039" s="20"/>
      <c r="F1039" s="20"/>
    </row>
    <row r="1040">
      <c r="C1040" s="20"/>
      <c r="D1040" s="20"/>
      <c r="E1040" s="20"/>
      <c r="F1040" s="20"/>
    </row>
    <row r="1041">
      <c r="C1041" s="20"/>
      <c r="D1041" s="20"/>
      <c r="E1041" s="20"/>
      <c r="F1041" s="20"/>
    </row>
    <row r="1042">
      <c r="C1042" s="20"/>
      <c r="D1042" s="20"/>
      <c r="E1042" s="20"/>
      <c r="F1042" s="20"/>
    </row>
    <row r="1043">
      <c r="C1043" s="20"/>
      <c r="D1043" s="20"/>
      <c r="E1043" s="20"/>
      <c r="F1043" s="20"/>
    </row>
    <row r="1044">
      <c r="C1044" s="20"/>
      <c r="D1044" s="20"/>
      <c r="E1044" s="20"/>
      <c r="F1044" s="20"/>
    </row>
    <row r="1045">
      <c r="C1045" s="20"/>
      <c r="D1045" s="20"/>
      <c r="E1045" s="20"/>
      <c r="F1045" s="20"/>
    </row>
    <row r="1046">
      <c r="C1046" s="20"/>
      <c r="D1046" s="20"/>
      <c r="E1046" s="20"/>
      <c r="F1046" s="20"/>
    </row>
    <row r="1047">
      <c r="C1047" s="20"/>
      <c r="D1047" s="20"/>
      <c r="E1047" s="20"/>
      <c r="F1047" s="20"/>
    </row>
    <row r="1048">
      <c r="C1048" s="20"/>
      <c r="D1048" s="20"/>
      <c r="E1048" s="20"/>
      <c r="F1048" s="20"/>
    </row>
    <row r="1049">
      <c r="C1049" s="20"/>
      <c r="D1049" s="20"/>
      <c r="E1049" s="20"/>
      <c r="F1049" s="20"/>
    </row>
    <row r="1050">
      <c r="C1050" s="20"/>
      <c r="D1050" s="20"/>
      <c r="E1050" s="20"/>
      <c r="F1050" s="20"/>
    </row>
    <row r="1051">
      <c r="C1051" s="20"/>
      <c r="D1051" s="20"/>
      <c r="E1051" s="20"/>
      <c r="F1051" s="20"/>
    </row>
    <row r="1052">
      <c r="C1052" s="20"/>
      <c r="D1052" s="20"/>
      <c r="E1052" s="20"/>
      <c r="F1052" s="20"/>
    </row>
    <row r="1053">
      <c r="C1053" s="20"/>
      <c r="D1053" s="20"/>
      <c r="E1053" s="20"/>
      <c r="F1053" s="20"/>
    </row>
    <row r="1054">
      <c r="C1054" s="20"/>
      <c r="D1054" s="20"/>
      <c r="E1054" s="20"/>
      <c r="F1054" s="20"/>
    </row>
    <row r="1055">
      <c r="C1055" s="20"/>
      <c r="D1055" s="20"/>
      <c r="E1055" s="20"/>
      <c r="F1055" s="20"/>
    </row>
    <row r="1056">
      <c r="C1056" s="20"/>
      <c r="D1056" s="20"/>
      <c r="E1056" s="20"/>
      <c r="F1056" s="20"/>
    </row>
    <row r="1057">
      <c r="C1057" s="20"/>
      <c r="D1057" s="20"/>
      <c r="E1057" s="20"/>
      <c r="F1057" s="20"/>
    </row>
    <row r="1058">
      <c r="C1058" s="20"/>
      <c r="D1058" s="20"/>
      <c r="E1058" s="20"/>
      <c r="F1058" s="20"/>
    </row>
    <row r="1059">
      <c r="C1059" s="20"/>
      <c r="D1059" s="20"/>
      <c r="E1059" s="20"/>
      <c r="F1059" s="20"/>
    </row>
    <row r="1060">
      <c r="C1060" s="20"/>
      <c r="D1060" s="20"/>
      <c r="E1060" s="20"/>
      <c r="F1060" s="20"/>
    </row>
    <row r="1061">
      <c r="C1061" s="20"/>
      <c r="D1061" s="20"/>
      <c r="E1061" s="20"/>
      <c r="F1061" s="20"/>
    </row>
    <row r="1062">
      <c r="C1062" s="20"/>
      <c r="D1062" s="20"/>
      <c r="E1062" s="20"/>
      <c r="F1062" s="20"/>
    </row>
    <row r="1063">
      <c r="C1063" s="20"/>
      <c r="D1063" s="20"/>
      <c r="E1063" s="20"/>
      <c r="F1063" s="20"/>
    </row>
    <row r="1064">
      <c r="C1064" s="20"/>
      <c r="D1064" s="20"/>
      <c r="E1064" s="20"/>
      <c r="F1064" s="20"/>
    </row>
    <row r="1065">
      <c r="C1065" s="20"/>
      <c r="D1065" s="20"/>
      <c r="E1065" s="20"/>
      <c r="F1065" s="20"/>
    </row>
    <row r="1066">
      <c r="C1066" s="20"/>
      <c r="D1066" s="20"/>
      <c r="E1066" s="20"/>
      <c r="F1066" s="20"/>
    </row>
    <row r="1067">
      <c r="C1067" s="20"/>
      <c r="D1067" s="20"/>
      <c r="E1067" s="20"/>
      <c r="F1067" s="20"/>
    </row>
    <row r="1068">
      <c r="C1068" s="20"/>
      <c r="D1068" s="20"/>
      <c r="E1068" s="20"/>
      <c r="F1068" s="20"/>
    </row>
    <row r="1069">
      <c r="C1069" s="20"/>
      <c r="D1069" s="20"/>
      <c r="E1069" s="20"/>
      <c r="F1069" s="20"/>
    </row>
    <row r="1070">
      <c r="C1070" s="20"/>
      <c r="D1070" s="20"/>
      <c r="E1070" s="20"/>
      <c r="F1070" s="20"/>
    </row>
    <row r="1071">
      <c r="C1071" s="20"/>
      <c r="D1071" s="20"/>
      <c r="E1071" s="20"/>
      <c r="F1071" s="20"/>
    </row>
    <row r="1072">
      <c r="C1072" s="20"/>
      <c r="D1072" s="20"/>
      <c r="E1072" s="20"/>
      <c r="F1072" s="20"/>
    </row>
    <row r="1073">
      <c r="C1073" s="20"/>
      <c r="D1073" s="20"/>
      <c r="E1073" s="20"/>
      <c r="F1073" s="20"/>
    </row>
    <row r="1074">
      <c r="C1074" s="20"/>
      <c r="D1074" s="20"/>
      <c r="E1074" s="20"/>
      <c r="F1074" s="20"/>
    </row>
    <row r="1075">
      <c r="C1075" s="20"/>
      <c r="D1075" s="20"/>
      <c r="E1075" s="20"/>
      <c r="F1075" s="20"/>
    </row>
    <row r="1076">
      <c r="C1076" s="20"/>
      <c r="D1076" s="20"/>
      <c r="E1076" s="20"/>
      <c r="F1076" s="20"/>
    </row>
    <row r="1077">
      <c r="C1077" s="20"/>
      <c r="D1077" s="20"/>
      <c r="E1077" s="20"/>
      <c r="F1077" s="20"/>
    </row>
    <row r="1078">
      <c r="C1078" s="20"/>
      <c r="D1078" s="20"/>
      <c r="E1078" s="20"/>
      <c r="F1078" s="20"/>
    </row>
    <row r="1079">
      <c r="C1079" s="20"/>
      <c r="D1079" s="20"/>
      <c r="E1079" s="20"/>
      <c r="F1079" s="20"/>
    </row>
    <row r="1080">
      <c r="C1080" s="20"/>
      <c r="D1080" s="20"/>
      <c r="E1080" s="20"/>
      <c r="F1080" s="20"/>
    </row>
    <row r="1081">
      <c r="C1081" s="20"/>
      <c r="D1081" s="20"/>
      <c r="E1081" s="20"/>
      <c r="F1081" s="20"/>
    </row>
    <row r="1082">
      <c r="C1082" s="20"/>
      <c r="D1082" s="20"/>
      <c r="E1082" s="20"/>
      <c r="F1082" s="20"/>
    </row>
    <row r="1083">
      <c r="C1083" s="20"/>
      <c r="D1083" s="20"/>
      <c r="E1083" s="20"/>
      <c r="F1083" s="20"/>
    </row>
    <row r="1084">
      <c r="C1084" s="20"/>
      <c r="D1084" s="20"/>
      <c r="E1084" s="20"/>
      <c r="F1084" s="20"/>
    </row>
    <row r="1085">
      <c r="C1085" s="20"/>
      <c r="D1085" s="20"/>
      <c r="E1085" s="20"/>
      <c r="F1085" s="20"/>
    </row>
    <row r="1086">
      <c r="C1086" s="20"/>
      <c r="D1086" s="20"/>
      <c r="E1086" s="20"/>
      <c r="F1086" s="20"/>
    </row>
    <row r="1087">
      <c r="C1087" s="20"/>
      <c r="D1087" s="20"/>
      <c r="E1087" s="20"/>
      <c r="F1087" s="20"/>
    </row>
    <row r="1088">
      <c r="C1088" s="20"/>
      <c r="D1088" s="20"/>
      <c r="E1088" s="20"/>
      <c r="F1088" s="20"/>
    </row>
    <row r="1089">
      <c r="C1089" s="20"/>
      <c r="D1089" s="20"/>
      <c r="E1089" s="20"/>
      <c r="F1089" s="20"/>
    </row>
    <row r="1090">
      <c r="C1090" s="20"/>
      <c r="D1090" s="20"/>
      <c r="E1090" s="20"/>
      <c r="F1090" s="20"/>
    </row>
    <row r="1091">
      <c r="C1091" s="20"/>
      <c r="D1091" s="20"/>
      <c r="E1091" s="20"/>
      <c r="F1091" s="20"/>
    </row>
    <row r="1092">
      <c r="C1092" s="20"/>
      <c r="D1092" s="20"/>
      <c r="E1092" s="20"/>
      <c r="F1092" s="20"/>
    </row>
    <row r="1093">
      <c r="C1093" s="20"/>
      <c r="D1093" s="20"/>
      <c r="E1093" s="20"/>
      <c r="F1093" s="20"/>
    </row>
    <row r="1094">
      <c r="C1094" s="20"/>
      <c r="D1094" s="20"/>
      <c r="E1094" s="20"/>
      <c r="F1094" s="20"/>
    </row>
    <row r="1095">
      <c r="C1095" s="20"/>
      <c r="D1095" s="20"/>
      <c r="E1095" s="20"/>
      <c r="F1095" s="20"/>
    </row>
    <row r="1096">
      <c r="C1096" s="20"/>
      <c r="D1096" s="20"/>
      <c r="E1096" s="20"/>
      <c r="F1096" s="20"/>
    </row>
    <row r="1097">
      <c r="C1097" s="20"/>
      <c r="D1097" s="20"/>
      <c r="E1097" s="20"/>
      <c r="F1097" s="20"/>
    </row>
    <row r="1098">
      <c r="C1098" s="20"/>
      <c r="D1098" s="20"/>
      <c r="E1098" s="20"/>
      <c r="F1098" s="20"/>
    </row>
    <row r="1099">
      <c r="C1099" s="20"/>
      <c r="D1099" s="20"/>
      <c r="E1099" s="20"/>
      <c r="F1099" s="20"/>
    </row>
    <row r="1100">
      <c r="C1100" s="20"/>
      <c r="D1100" s="20"/>
      <c r="E1100" s="20"/>
      <c r="F1100" s="20"/>
    </row>
    <row r="1101">
      <c r="C1101" s="20"/>
      <c r="D1101" s="20"/>
      <c r="E1101" s="20"/>
      <c r="F1101" s="20"/>
    </row>
    <row r="1102">
      <c r="C1102" s="20"/>
      <c r="D1102" s="20"/>
      <c r="E1102" s="20"/>
      <c r="F1102" s="20"/>
    </row>
    <row r="1103">
      <c r="C1103" s="20"/>
      <c r="D1103" s="20"/>
      <c r="E1103" s="20"/>
      <c r="F1103" s="20"/>
    </row>
    <row r="1104">
      <c r="C1104" s="20"/>
      <c r="D1104" s="20"/>
      <c r="E1104" s="20"/>
      <c r="F1104" s="20"/>
    </row>
    <row r="1105">
      <c r="C1105" s="20"/>
      <c r="D1105" s="20"/>
      <c r="E1105" s="20"/>
      <c r="F1105" s="20"/>
    </row>
    <row r="1106">
      <c r="C1106" s="20"/>
      <c r="D1106" s="20"/>
      <c r="E1106" s="20"/>
      <c r="F1106" s="20"/>
    </row>
    <row r="1107">
      <c r="C1107" s="20"/>
      <c r="D1107" s="20"/>
      <c r="E1107" s="20"/>
      <c r="F1107" s="20"/>
    </row>
    <row r="1108">
      <c r="C1108" s="20"/>
      <c r="D1108" s="20"/>
      <c r="E1108" s="20"/>
      <c r="F1108" s="20"/>
    </row>
    <row r="1109">
      <c r="C1109" s="20"/>
      <c r="D1109" s="20"/>
      <c r="E1109" s="20"/>
      <c r="F1109" s="20"/>
    </row>
    <row r="1110">
      <c r="C1110" s="20"/>
      <c r="D1110" s="20"/>
      <c r="E1110" s="20"/>
      <c r="F1110" s="20"/>
    </row>
    <row r="1111">
      <c r="C1111" s="20"/>
      <c r="D1111" s="20"/>
      <c r="E1111" s="20"/>
      <c r="F1111" s="20"/>
    </row>
    <row r="1112">
      <c r="C1112" s="20"/>
      <c r="D1112" s="20"/>
      <c r="E1112" s="20"/>
      <c r="F1112" s="20"/>
    </row>
    <row r="1113">
      <c r="C1113" s="20"/>
      <c r="D1113" s="20"/>
      <c r="E1113" s="20"/>
      <c r="F1113" s="20"/>
    </row>
    <row r="1114">
      <c r="C1114" s="20"/>
      <c r="D1114" s="20"/>
      <c r="E1114" s="20"/>
      <c r="F1114" s="20"/>
    </row>
    <row r="1115">
      <c r="C1115" s="20"/>
      <c r="D1115" s="20"/>
      <c r="E1115" s="20"/>
      <c r="F1115" s="20"/>
    </row>
    <row r="1116">
      <c r="C1116" s="20"/>
      <c r="D1116" s="20"/>
      <c r="E1116" s="20"/>
      <c r="F1116" s="20"/>
    </row>
    <row r="1117">
      <c r="C1117" s="20"/>
      <c r="D1117" s="20"/>
      <c r="E1117" s="20"/>
      <c r="F1117" s="20"/>
    </row>
    <row r="1118">
      <c r="C1118" s="20"/>
      <c r="D1118" s="20"/>
      <c r="E1118" s="20"/>
      <c r="F1118" s="20"/>
    </row>
    <row r="1119">
      <c r="C1119" s="20"/>
      <c r="D1119" s="20"/>
      <c r="E1119" s="20"/>
      <c r="F1119" s="20"/>
    </row>
    <row r="1120">
      <c r="C1120" s="20"/>
      <c r="D1120" s="20"/>
      <c r="E1120" s="20"/>
      <c r="F1120" s="20"/>
    </row>
    <row r="1121">
      <c r="C1121" s="20"/>
      <c r="D1121" s="20"/>
      <c r="E1121" s="20"/>
      <c r="F1121" s="20"/>
    </row>
    <row r="1122">
      <c r="C1122" s="20"/>
      <c r="D1122" s="20"/>
      <c r="E1122" s="20"/>
      <c r="F1122" s="20"/>
    </row>
    <row r="1123">
      <c r="C1123" s="20"/>
      <c r="D1123" s="20"/>
      <c r="E1123" s="20"/>
      <c r="F1123" s="20"/>
    </row>
    <row r="1124">
      <c r="C1124" s="20"/>
      <c r="D1124" s="20"/>
      <c r="E1124" s="20"/>
      <c r="F1124" s="20"/>
    </row>
    <row r="1125">
      <c r="C1125" s="20"/>
      <c r="D1125" s="20"/>
      <c r="E1125" s="20"/>
      <c r="F1125" s="20"/>
    </row>
    <row r="1126">
      <c r="C1126" s="20"/>
      <c r="D1126" s="20"/>
      <c r="E1126" s="20"/>
      <c r="F1126" s="20"/>
    </row>
    <row r="1127">
      <c r="C1127" s="20"/>
      <c r="D1127" s="20"/>
      <c r="E1127" s="20"/>
      <c r="F1127" s="20"/>
    </row>
    <row r="1128">
      <c r="C1128" s="20"/>
      <c r="D1128" s="20"/>
      <c r="E1128" s="20"/>
      <c r="F1128" s="20"/>
    </row>
    <row r="1129">
      <c r="C1129" s="20"/>
      <c r="D1129" s="20"/>
      <c r="E1129" s="20"/>
      <c r="F1129" s="20"/>
    </row>
    <row r="1130">
      <c r="C1130" s="20"/>
      <c r="D1130" s="20"/>
      <c r="E1130" s="20"/>
      <c r="F1130" s="20"/>
    </row>
    <row r="1131">
      <c r="C1131" s="20"/>
      <c r="D1131" s="20"/>
      <c r="E1131" s="20"/>
      <c r="F1131" s="20"/>
    </row>
    <row r="1132">
      <c r="C1132" s="20"/>
      <c r="D1132" s="20"/>
      <c r="E1132" s="20"/>
      <c r="F1132" s="20"/>
    </row>
    <row r="1133">
      <c r="C1133" s="20"/>
      <c r="D1133" s="20"/>
      <c r="E1133" s="20"/>
      <c r="F1133" s="20"/>
    </row>
    <row r="1134">
      <c r="C1134" s="20"/>
      <c r="D1134" s="20"/>
      <c r="E1134" s="20"/>
      <c r="F1134" s="20"/>
    </row>
    <row r="1135">
      <c r="C1135" s="20"/>
      <c r="D1135" s="20"/>
      <c r="E1135" s="20"/>
      <c r="F1135" s="20"/>
    </row>
    <row r="1136">
      <c r="C1136" s="20"/>
      <c r="D1136" s="20"/>
      <c r="E1136" s="20"/>
      <c r="F1136" s="20"/>
    </row>
    <row r="1137">
      <c r="C1137" s="20"/>
      <c r="D1137" s="20"/>
      <c r="E1137" s="20"/>
      <c r="F1137" s="20"/>
    </row>
    <row r="1138">
      <c r="C1138" s="20"/>
      <c r="D1138" s="20"/>
      <c r="E1138" s="20"/>
      <c r="F1138" s="20"/>
    </row>
    <row r="1139">
      <c r="C1139" s="20"/>
      <c r="D1139" s="20"/>
      <c r="E1139" s="20"/>
      <c r="F1139" s="20"/>
    </row>
    <row r="1140">
      <c r="C1140" s="20"/>
      <c r="D1140" s="20"/>
      <c r="E1140" s="20"/>
      <c r="F1140" s="20"/>
    </row>
    <row r="1141">
      <c r="C1141" s="20"/>
      <c r="D1141" s="20"/>
      <c r="E1141" s="20"/>
      <c r="F1141" s="20"/>
    </row>
    <row r="1142">
      <c r="C1142" s="20"/>
      <c r="D1142" s="20"/>
      <c r="E1142" s="20"/>
      <c r="F1142" s="20"/>
    </row>
    <row r="1143">
      <c r="C1143" s="20"/>
      <c r="D1143" s="20"/>
      <c r="E1143" s="20"/>
      <c r="F1143" s="20"/>
    </row>
    <row r="1144">
      <c r="C1144" s="20"/>
      <c r="D1144" s="20"/>
      <c r="E1144" s="20"/>
      <c r="F1144" s="20"/>
    </row>
    <row r="1145">
      <c r="C1145" s="20"/>
      <c r="D1145" s="20"/>
      <c r="E1145" s="20"/>
      <c r="F1145" s="20"/>
    </row>
    <row r="1146">
      <c r="C1146" s="20"/>
      <c r="D1146" s="20"/>
      <c r="E1146" s="20"/>
      <c r="F1146" s="20"/>
    </row>
    <row r="1147">
      <c r="C1147" s="20"/>
      <c r="D1147" s="20"/>
      <c r="E1147" s="20"/>
      <c r="F1147" s="20"/>
    </row>
    <row r="1148">
      <c r="C1148" s="20"/>
      <c r="D1148" s="20"/>
      <c r="E1148" s="20"/>
      <c r="F1148" s="20"/>
    </row>
    <row r="1149">
      <c r="C1149" s="20"/>
      <c r="D1149" s="20"/>
      <c r="E1149" s="20"/>
      <c r="F1149" s="20"/>
    </row>
    <row r="1150">
      <c r="C1150" s="20"/>
      <c r="D1150" s="20"/>
      <c r="E1150" s="20"/>
      <c r="F1150" s="20"/>
    </row>
    <row r="1151">
      <c r="C1151" s="20"/>
      <c r="D1151" s="20"/>
      <c r="E1151" s="20"/>
      <c r="F1151" s="20"/>
    </row>
    <row r="1152">
      <c r="C1152" s="20"/>
      <c r="D1152" s="20"/>
      <c r="E1152" s="20"/>
      <c r="F1152" s="20"/>
    </row>
    <row r="1153">
      <c r="C1153" s="20"/>
      <c r="D1153" s="20"/>
      <c r="E1153" s="20"/>
      <c r="F1153" s="20"/>
    </row>
    <row r="1154">
      <c r="C1154" s="20"/>
      <c r="D1154" s="20"/>
      <c r="E1154" s="20"/>
      <c r="F1154" s="20"/>
    </row>
    <row r="1155">
      <c r="C1155" s="20"/>
      <c r="D1155" s="20"/>
      <c r="E1155" s="20"/>
      <c r="F1155" s="20"/>
    </row>
    <row r="1156">
      <c r="C1156" s="20"/>
      <c r="D1156" s="20"/>
      <c r="E1156" s="20"/>
      <c r="F1156" s="20"/>
    </row>
    <row r="1157">
      <c r="C1157" s="20"/>
      <c r="D1157" s="20"/>
      <c r="E1157" s="20"/>
      <c r="F1157" s="20"/>
    </row>
    <row r="1158">
      <c r="C1158" s="20"/>
      <c r="D1158" s="20"/>
      <c r="E1158" s="20"/>
      <c r="F1158" s="20"/>
    </row>
    <row r="1159">
      <c r="C1159" s="20"/>
      <c r="D1159" s="20"/>
      <c r="E1159" s="20"/>
      <c r="F1159" s="20"/>
    </row>
    <row r="1160">
      <c r="C1160" s="20"/>
      <c r="D1160" s="20"/>
      <c r="E1160" s="20"/>
      <c r="F1160" s="20"/>
    </row>
    <row r="1161">
      <c r="C1161" s="20"/>
      <c r="D1161" s="20"/>
      <c r="E1161" s="20"/>
      <c r="F1161" s="20"/>
    </row>
    <row r="1162">
      <c r="C1162" s="20"/>
      <c r="D1162" s="20"/>
      <c r="E1162" s="20"/>
      <c r="F1162" s="20"/>
    </row>
    <row r="1163">
      <c r="C1163" s="20"/>
      <c r="D1163" s="20"/>
      <c r="E1163" s="20"/>
      <c r="F1163" s="20"/>
    </row>
    <row r="1164">
      <c r="C1164" s="20"/>
      <c r="D1164" s="20"/>
      <c r="E1164" s="20"/>
      <c r="F1164" s="20"/>
    </row>
    <row r="1165">
      <c r="C1165" s="20"/>
      <c r="D1165" s="20"/>
      <c r="E1165" s="20"/>
      <c r="F1165" s="20"/>
    </row>
    <row r="1166">
      <c r="C1166" s="20"/>
      <c r="D1166" s="20"/>
      <c r="E1166" s="20"/>
      <c r="F1166" s="20"/>
    </row>
    <row r="1167">
      <c r="C1167" s="20"/>
      <c r="D1167" s="20"/>
      <c r="E1167" s="20"/>
      <c r="F1167" s="20"/>
    </row>
    <row r="1168">
      <c r="C1168" s="20"/>
      <c r="D1168" s="20"/>
      <c r="E1168" s="20"/>
      <c r="F1168" s="20"/>
    </row>
    <row r="1169">
      <c r="C1169" s="20"/>
      <c r="D1169" s="20"/>
      <c r="E1169" s="20"/>
      <c r="F1169" s="20"/>
    </row>
    <row r="1170">
      <c r="C1170" s="20"/>
      <c r="D1170" s="20"/>
      <c r="E1170" s="20"/>
      <c r="F1170" s="20"/>
    </row>
    <row r="1171">
      <c r="C1171" s="20"/>
      <c r="D1171" s="20"/>
      <c r="E1171" s="20"/>
      <c r="F1171" s="20"/>
    </row>
    <row r="1172">
      <c r="C1172" s="20"/>
      <c r="D1172" s="20"/>
      <c r="E1172" s="20"/>
      <c r="F1172" s="20"/>
    </row>
    <row r="1173">
      <c r="C1173" s="20"/>
      <c r="D1173" s="20"/>
      <c r="E1173" s="20"/>
      <c r="F1173" s="20"/>
    </row>
    <row r="1174">
      <c r="C1174" s="20"/>
      <c r="D1174" s="20"/>
      <c r="E1174" s="20"/>
      <c r="F1174" s="20"/>
    </row>
    <row r="1175">
      <c r="C1175" s="20"/>
      <c r="D1175" s="20"/>
      <c r="E1175" s="20"/>
      <c r="F1175" s="20"/>
    </row>
    <row r="1176">
      <c r="C1176" s="20"/>
      <c r="D1176" s="20"/>
      <c r="E1176" s="20"/>
      <c r="F1176" s="20"/>
    </row>
    <row r="1177">
      <c r="C1177" s="20"/>
      <c r="D1177" s="20"/>
      <c r="E1177" s="20"/>
      <c r="F1177" s="20"/>
    </row>
    <row r="1178">
      <c r="C1178" s="20"/>
      <c r="D1178" s="20"/>
      <c r="E1178" s="20"/>
      <c r="F1178" s="20"/>
    </row>
    <row r="1179">
      <c r="C1179" s="20"/>
      <c r="D1179" s="20"/>
      <c r="E1179" s="20"/>
      <c r="F1179" s="20"/>
    </row>
    <row r="1180">
      <c r="C1180" s="20"/>
      <c r="D1180" s="20"/>
      <c r="E1180" s="20"/>
      <c r="F1180" s="20"/>
    </row>
    <row r="1181">
      <c r="C1181" s="20"/>
      <c r="D1181" s="20"/>
      <c r="E1181" s="20"/>
      <c r="F1181" s="20"/>
    </row>
    <row r="1182">
      <c r="C1182" s="20"/>
      <c r="D1182" s="20"/>
      <c r="E1182" s="20"/>
      <c r="F1182" s="20"/>
    </row>
    <row r="1183">
      <c r="C1183" s="20"/>
      <c r="D1183" s="20"/>
      <c r="E1183" s="20"/>
      <c r="F1183" s="20"/>
    </row>
    <row r="1184">
      <c r="C1184" s="20"/>
      <c r="D1184" s="20"/>
      <c r="E1184" s="20"/>
      <c r="F1184" s="20"/>
    </row>
    <row r="1185">
      <c r="C1185" s="20"/>
      <c r="D1185" s="20"/>
      <c r="E1185" s="20"/>
      <c r="F1185" s="20"/>
    </row>
    <row r="1186">
      <c r="C1186" s="20"/>
      <c r="D1186" s="20"/>
      <c r="E1186" s="20"/>
      <c r="F1186" s="20"/>
    </row>
    <row r="1187">
      <c r="C1187" s="20"/>
      <c r="D1187" s="20"/>
      <c r="E1187" s="20"/>
      <c r="F1187" s="20"/>
    </row>
    <row r="1188">
      <c r="C1188" s="20"/>
      <c r="D1188" s="20"/>
      <c r="E1188" s="20"/>
      <c r="F1188" s="20"/>
    </row>
    <row r="1189">
      <c r="C1189" s="20"/>
      <c r="D1189" s="20"/>
      <c r="E1189" s="20"/>
      <c r="F1189" s="20"/>
    </row>
    <row r="1190">
      <c r="C1190" s="20"/>
      <c r="D1190" s="20"/>
      <c r="E1190" s="20"/>
      <c r="F1190" s="20"/>
    </row>
    <row r="1191">
      <c r="C1191" s="20"/>
      <c r="D1191" s="20"/>
      <c r="E1191" s="20"/>
      <c r="F1191" s="20"/>
    </row>
    <row r="1192">
      <c r="C1192" s="20"/>
      <c r="D1192" s="20"/>
      <c r="E1192" s="20"/>
      <c r="F1192" s="20"/>
    </row>
    <row r="1193">
      <c r="C1193" s="20"/>
      <c r="D1193" s="20"/>
      <c r="E1193" s="20"/>
      <c r="F1193" s="20"/>
    </row>
    <row r="1194">
      <c r="C1194" s="20"/>
      <c r="D1194" s="20"/>
      <c r="E1194" s="20"/>
      <c r="F1194" s="20"/>
    </row>
    <row r="1195">
      <c r="C1195" s="20"/>
      <c r="D1195" s="20"/>
      <c r="E1195" s="20"/>
      <c r="F1195" s="20"/>
    </row>
    <row r="1196">
      <c r="C1196" s="20"/>
      <c r="D1196" s="20"/>
      <c r="E1196" s="20"/>
      <c r="F1196" s="20"/>
    </row>
    <row r="1197">
      <c r="C1197" s="20"/>
      <c r="D1197" s="20"/>
      <c r="E1197" s="20"/>
      <c r="F1197" s="20"/>
    </row>
    <row r="1198">
      <c r="C1198" s="20"/>
      <c r="D1198" s="20"/>
      <c r="E1198" s="20"/>
      <c r="F1198" s="20"/>
    </row>
    <row r="1199">
      <c r="C1199" s="20"/>
      <c r="D1199" s="20"/>
      <c r="E1199" s="20"/>
      <c r="F1199" s="20"/>
    </row>
    <row r="1200">
      <c r="C1200" s="20"/>
      <c r="D1200" s="20"/>
      <c r="E1200" s="20"/>
      <c r="F1200" s="20"/>
    </row>
    <row r="1201">
      <c r="C1201" s="20"/>
      <c r="D1201" s="20"/>
      <c r="E1201" s="20"/>
      <c r="F1201" s="20"/>
    </row>
    <row r="1202">
      <c r="C1202" s="20"/>
      <c r="D1202" s="20"/>
      <c r="E1202" s="20"/>
      <c r="F1202" s="20"/>
    </row>
    <row r="1203">
      <c r="C1203" s="20"/>
      <c r="D1203" s="20"/>
      <c r="E1203" s="20"/>
      <c r="F1203" s="20"/>
    </row>
    <row r="1204">
      <c r="C1204" s="20"/>
      <c r="D1204" s="20"/>
      <c r="E1204" s="20"/>
      <c r="F1204" s="20"/>
    </row>
    <row r="1205">
      <c r="C1205" s="20"/>
      <c r="D1205" s="20"/>
      <c r="E1205" s="20"/>
      <c r="F1205" s="20"/>
    </row>
    <row r="1206">
      <c r="C1206" s="20"/>
      <c r="D1206" s="20"/>
      <c r="E1206" s="20"/>
      <c r="F1206" s="20"/>
    </row>
    <row r="1207">
      <c r="C1207" s="20"/>
      <c r="D1207" s="20"/>
      <c r="E1207" s="20"/>
      <c r="F1207" s="20"/>
    </row>
    <row r="1208">
      <c r="C1208" s="20"/>
      <c r="D1208" s="20"/>
      <c r="E1208" s="20"/>
      <c r="F1208" s="20"/>
    </row>
    <row r="1209">
      <c r="C1209" s="20"/>
      <c r="D1209" s="20"/>
      <c r="E1209" s="20"/>
      <c r="F1209" s="20"/>
    </row>
    <row r="1210">
      <c r="C1210" s="20"/>
      <c r="D1210" s="20"/>
      <c r="E1210" s="20"/>
      <c r="F1210" s="20"/>
    </row>
    <row r="1211">
      <c r="C1211" s="20"/>
      <c r="D1211" s="20"/>
      <c r="E1211" s="20"/>
      <c r="F1211" s="20"/>
    </row>
    <row r="1212">
      <c r="C1212" s="20"/>
      <c r="D1212" s="20"/>
      <c r="E1212" s="20"/>
      <c r="F1212" s="20"/>
    </row>
    <row r="1213">
      <c r="C1213" s="20"/>
      <c r="D1213" s="20"/>
      <c r="E1213" s="20"/>
      <c r="F1213" s="20"/>
    </row>
    <row r="1214">
      <c r="C1214" s="20"/>
      <c r="D1214" s="20"/>
      <c r="E1214" s="20"/>
      <c r="F1214" s="20"/>
    </row>
    <row r="1215">
      <c r="C1215" s="20"/>
      <c r="D1215" s="20"/>
      <c r="E1215" s="20"/>
      <c r="F1215" s="20"/>
    </row>
    <row r="1216">
      <c r="C1216" s="20"/>
      <c r="D1216" s="20"/>
      <c r="E1216" s="20"/>
      <c r="F1216" s="20"/>
    </row>
    <row r="1217">
      <c r="C1217" s="20"/>
      <c r="D1217" s="20"/>
      <c r="E1217" s="20"/>
      <c r="F1217" s="20"/>
    </row>
    <row r="1218">
      <c r="C1218" s="20"/>
      <c r="D1218" s="20"/>
      <c r="E1218" s="20"/>
      <c r="F1218" s="20"/>
    </row>
    <row r="1219">
      <c r="C1219" s="20"/>
      <c r="D1219" s="20"/>
      <c r="E1219" s="20"/>
      <c r="F1219" s="20"/>
    </row>
    <row r="1220">
      <c r="C1220" s="20"/>
      <c r="D1220" s="20"/>
      <c r="E1220" s="20"/>
      <c r="F1220" s="20"/>
    </row>
    <row r="1221">
      <c r="C1221" s="20"/>
      <c r="D1221" s="20"/>
      <c r="E1221" s="20"/>
      <c r="F1221" s="20"/>
    </row>
    <row r="1222">
      <c r="C1222" s="20"/>
      <c r="D1222" s="20"/>
      <c r="E1222" s="20"/>
      <c r="F1222" s="20"/>
    </row>
    <row r="1223">
      <c r="C1223" s="20"/>
      <c r="D1223" s="20"/>
      <c r="E1223" s="20"/>
      <c r="F1223" s="20"/>
    </row>
    <row r="1224">
      <c r="C1224" s="20"/>
      <c r="D1224" s="20"/>
      <c r="E1224" s="20"/>
      <c r="F1224" s="20"/>
    </row>
    <row r="1225">
      <c r="C1225" s="20"/>
      <c r="D1225" s="20"/>
      <c r="E1225" s="20"/>
      <c r="F1225" s="20"/>
    </row>
    <row r="1226">
      <c r="C1226" s="20"/>
      <c r="D1226" s="20"/>
      <c r="E1226" s="20"/>
      <c r="F1226" s="20"/>
    </row>
    <row r="1227">
      <c r="C1227" s="20"/>
      <c r="D1227" s="20"/>
      <c r="E1227" s="20"/>
      <c r="F1227" s="20"/>
    </row>
    <row r="1228">
      <c r="C1228" s="20"/>
      <c r="D1228" s="20"/>
      <c r="E1228" s="20"/>
      <c r="F1228" s="20"/>
    </row>
    <row r="1229">
      <c r="C1229" s="20"/>
      <c r="D1229" s="20"/>
      <c r="E1229" s="20"/>
      <c r="F1229" s="20"/>
    </row>
    <row r="1230">
      <c r="C1230" s="20"/>
      <c r="D1230" s="20"/>
      <c r="E1230" s="20"/>
      <c r="F1230" s="20"/>
    </row>
    <row r="1231">
      <c r="C1231" s="20"/>
      <c r="D1231" s="20"/>
      <c r="E1231" s="20"/>
      <c r="F1231" s="20"/>
    </row>
    <row r="1232">
      <c r="C1232" s="20"/>
      <c r="D1232" s="20"/>
      <c r="E1232" s="20"/>
      <c r="F1232" s="20"/>
    </row>
    <row r="1233">
      <c r="C1233" s="20"/>
      <c r="D1233" s="20"/>
      <c r="E1233" s="20"/>
      <c r="F1233" s="20"/>
    </row>
    <row r="1234">
      <c r="C1234" s="20"/>
      <c r="D1234" s="20"/>
      <c r="E1234" s="20"/>
      <c r="F1234" s="20"/>
    </row>
    <row r="1235">
      <c r="C1235" s="20"/>
      <c r="D1235" s="20"/>
      <c r="E1235" s="20"/>
      <c r="F1235" s="20"/>
    </row>
    <row r="1236">
      <c r="C1236" s="20"/>
      <c r="D1236" s="20"/>
      <c r="E1236" s="20"/>
      <c r="F1236" s="20"/>
    </row>
    <row r="1237">
      <c r="C1237" s="20"/>
      <c r="D1237" s="20"/>
      <c r="E1237" s="20"/>
      <c r="F1237" s="20"/>
    </row>
    <row r="1238">
      <c r="C1238" s="20"/>
      <c r="D1238" s="20"/>
      <c r="E1238" s="20"/>
      <c r="F1238" s="20"/>
    </row>
    <row r="1239">
      <c r="C1239" s="20"/>
      <c r="D1239" s="20"/>
      <c r="E1239" s="20"/>
      <c r="F1239" s="20"/>
    </row>
    <row r="1240">
      <c r="C1240" s="20"/>
      <c r="D1240" s="20"/>
      <c r="E1240" s="20"/>
      <c r="F1240" s="20"/>
    </row>
    <row r="1241">
      <c r="C1241" s="20"/>
      <c r="D1241" s="20"/>
      <c r="E1241" s="20"/>
      <c r="F1241" s="20"/>
    </row>
    <row r="1242">
      <c r="C1242" s="20"/>
      <c r="D1242" s="20"/>
      <c r="E1242" s="20"/>
      <c r="F1242" s="20"/>
    </row>
    <row r="1243">
      <c r="C1243" s="20"/>
      <c r="D1243" s="20"/>
      <c r="E1243" s="20"/>
      <c r="F1243" s="20"/>
    </row>
    <row r="1244">
      <c r="C1244" s="20"/>
      <c r="D1244" s="20"/>
      <c r="E1244" s="20"/>
      <c r="F1244" s="20"/>
    </row>
    <row r="1245">
      <c r="C1245" s="20"/>
      <c r="D1245" s="20"/>
      <c r="E1245" s="20"/>
      <c r="F1245" s="20"/>
    </row>
    <row r="1246">
      <c r="C1246" s="20"/>
      <c r="D1246" s="20"/>
      <c r="E1246" s="20"/>
      <c r="F1246" s="20"/>
    </row>
    <row r="1247">
      <c r="C1247" s="20"/>
      <c r="D1247" s="20"/>
      <c r="E1247" s="20"/>
      <c r="F1247" s="20"/>
    </row>
    <row r="1248">
      <c r="C1248" s="20"/>
      <c r="D1248" s="20"/>
      <c r="E1248" s="20"/>
      <c r="F1248" s="20"/>
    </row>
    <row r="1249">
      <c r="C1249" s="20"/>
      <c r="D1249" s="20"/>
      <c r="E1249" s="20"/>
      <c r="F1249" s="20"/>
    </row>
    <row r="1250">
      <c r="C1250" s="20"/>
      <c r="D1250" s="20"/>
      <c r="E1250" s="20"/>
      <c r="F1250" s="20"/>
    </row>
    <row r="1251">
      <c r="C1251" s="20"/>
      <c r="D1251" s="20"/>
      <c r="E1251" s="20"/>
      <c r="F1251" s="20"/>
    </row>
    <row r="1252">
      <c r="C1252" s="20"/>
      <c r="D1252" s="20"/>
      <c r="E1252" s="20"/>
      <c r="F1252" s="20"/>
    </row>
    <row r="1253">
      <c r="C1253" s="20"/>
      <c r="D1253" s="20"/>
      <c r="E1253" s="20"/>
      <c r="F1253" s="20"/>
    </row>
    <row r="1254">
      <c r="C1254" s="20"/>
      <c r="D1254" s="20"/>
      <c r="E1254" s="20"/>
      <c r="F1254" s="20"/>
    </row>
    <row r="1255">
      <c r="C1255" s="20"/>
      <c r="D1255" s="20"/>
      <c r="E1255" s="20"/>
      <c r="F1255" s="20"/>
    </row>
    <row r="1256">
      <c r="C1256" s="20"/>
      <c r="D1256" s="20"/>
      <c r="E1256" s="20"/>
      <c r="F1256" s="20"/>
    </row>
    <row r="1257">
      <c r="C1257" s="20"/>
      <c r="D1257" s="20"/>
      <c r="E1257" s="20"/>
      <c r="F1257" s="20"/>
    </row>
    <row r="1258">
      <c r="C1258" s="20"/>
      <c r="D1258" s="20"/>
      <c r="E1258" s="20"/>
      <c r="F1258" s="20"/>
    </row>
    <row r="1259">
      <c r="C1259" s="20"/>
      <c r="D1259" s="20"/>
      <c r="E1259" s="20"/>
      <c r="F1259" s="20"/>
    </row>
    <row r="1260">
      <c r="C1260" s="20"/>
      <c r="D1260" s="20"/>
      <c r="E1260" s="20"/>
      <c r="F1260" s="20"/>
    </row>
    <row r="1261">
      <c r="C1261" s="20"/>
      <c r="D1261" s="20"/>
      <c r="E1261" s="20"/>
      <c r="F1261" s="20"/>
    </row>
    <row r="1262">
      <c r="C1262" s="20"/>
      <c r="D1262" s="20"/>
      <c r="E1262" s="20"/>
      <c r="F1262" s="20"/>
    </row>
    <row r="1263">
      <c r="C1263" s="20"/>
      <c r="D1263" s="20"/>
      <c r="E1263" s="20"/>
      <c r="F1263" s="20"/>
    </row>
    <row r="1264">
      <c r="C1264" s="20"/>
      <c r="D1264" s="20"/>
      <c r="E1264" s="20"/>
      <c r="F1264" s="20"/>
    </row>
    <row r="1265">
      <c r="C1265" s="20"/>
      <c r="D1265" s="20"/>
      <c r="E1265" s="20"/>
      <c r="F1265" s="20"/>
    </row>
    <row r="1266">
      <c r="C1266" s="20"/>
      <c r="D1266" s="20"/>
      <c r="E1266" s="20"/>
      <c r="F1266" s="20"/>
    </row>
    <row r="1267">
      <c r="C1267" s="20"/>
      <c r="D1267" s="20"/>
      <c r="E1267" s="20"/>
      <c r="F1267" s="20"/>
    </row>
    <row r="1268">
      <c r="C1268" s="20"/>
      <c r="D1268" s="20"/>
      <c r="E1268" s="20"/>
      <c r="F1268" s="20"/>
    </row>
    <row r="1269">
      <c r="C1269" s="20"/>
      <c r="D1269" s="20"/>
      <c r="E1269" s="20"/>
      <c r="F1269" s="20"/>
    </row>
    <row r="1270">
      <c r="C1270" s="20"/>
      <c r="D1270" s="20"/>
      <c r="E1270" s="20"/>
      <c r="F1270" s="20"/>
    </row>
    <row r="1271">
      <c r="C1271" s="20"/>
      <c r="D1271" s="20"/>
      <c r="E1271" s="20"/>
      <c r="F1271" s="20"/>
    </row>
    <row r="1272">
      <c r="C1272" s="20"/>
      <c r="D1272" s="20"/>
      <c r="E1272" s="20"/>
      <c r="F1272" s="20"/>
    </row>
    <row r="1273">
      <c r="C1273" s="20"/>
      <c r="D1273" s="20"/>
      <c r="E1273" s="20"/>
      <c r="F1273" s="20"/>
    </row>
    <row r="1274">
      <c r="C1274" s="20"/>
      <c r="D1274" s="20"/>
      <c r="E1274" s="20"/>
      <c r="F1274" s="20"/>
    </row>
    <row r="1275">
      <c r="C1275" s="20"/>
      <c r="D1275" s="20"/>
      <c r="E1275" s="20"/>
      <c r="F1275" s="20"/>
    </row>
    <row r="1276">
      <c r="C1276" s="20"/>
      <c r="D1276" s="20"/>
      <c r="E1276" s="20"/>
      <c r="F1276" s="20"/>
    </row>
    <row r="1277">
      <c r="C1277" s="20"/>
      <c r="D1277" s="20"/>
      <c r="E1277" s="20"/>
      <c r="F1277" s="20"/>
    </row>
    <row r="1278">
      <c r="C1278" s="20"/>
      <c r="D1278" s="20"/>
      <c r="E1278" s="20"/>
      <c r="F1278" s="20"/>
    </row>
    <row r="1279">
      <c r="C1279" s="20"/>
      <c r="D1279" s="20"/>
      <c r="E1279" s="20"/>
      <c r="F1279" s="20"/>
    </row>
    <row r="1280">
      <c r="C1280" s="20"/>
      <c r="D1280" s="20"/>
      <c r="E1280" s="20"/>
      <c r="F1280" s="20"/>
    </row>
    <row r="1281">
      <c r="C1281" s="20"/>
      <c r="D1281" s="20"/>
      <c r="E1281" s="20"/>
      <c r="F1281" s="20"/>
    </row>
    <row r="1282">
      <c r="C1282" s="20"/>
      <c r="D1282" s="20"/>
      <c r="E1282" s="20"/>
      <c r="F1282" s="20"/>
    </row>
    <row r="1283">
      <c r="C1283" s="20"/>
      <c r="D1283" s="20"/>
      <c r="E1283" s="20"/>
      <c r="F1283" s="20"/>
    </row>
    <row r="1284">
      <c r="C1284" s="20"/>
      <c r="D1284" s="20"/>
      <c r="E1284" s="20"/>
      <c r="F1284" s="20"/>
    </row>
    <row r="1285">
      <c r="C1285" s="20"/>
      <c r="D1285" s="20"/>
      <c r="E1285" s="20"/>
      <c r="F1285" s="20"/>
    </row>
    <row r="1286">
      <c r="C1286" s="20"/>
      <c r="D1286" s="20"/>
      <c r="E1286" s="20"/>
      <c r="F1286" s="20"/>
    </row>
    <row r="1287">
      <c r="C1287" s="20"/>
      <c r="D1287" s="20"/>
      <c r="E1287" s="20"/>
      <c r="F1287" s="20"/>
    </row>
    <row r="1288">
      <c r="C1288" s="20"/>
      <c r="D1288" s="20"/>
      <c r="E1288" s="20"/>
      <c r="F1288" s="20"/>
    </row>
    <row r="1289">
      <c r="C1289" s="20"/>
      <c r="D1289" s="20"/>
      <c r="E1289" s="20"/>
      <c r="F1289" s="20"/>
    </row>
    <row r="1290">
      <c r="C1290" s="20"/>
      <c r="D1290" s="20"/>
      <c r="E1290" s="20"/>
      <c r="F1290" s="20"/>
    </row>
    <row r="1291">
      <c r="C1291" s="20"/>
      <c r="D1291" s="20"/>
      <c r="E1291" s="20"/>
      <c r="F1291" s="20"/>
    </row>
    <row r="1292">
      <c r="C1292" s="20"/>
      <c r="D1292" s="20"/>
      <c r="E1292" s="20"/>
      <c r="F1292" s="20"/>
    </row>
    <row r="1293">
      <c r="C1293" s="20"/>
      <c r="D1293" s="20"/>
      <c r="E1293" s="20"/>
      <c r="F1293" s="20"/>
    </row>
    <row r="1294">
      <c r="C1294" s="20"/>
      <c r="D1294" s="20"/>
      <c r="E1294" s="20"/>
      <c r="F1294" s="20"/>
    </row>
    <row r="1295">
      <c r="C1295" s="20"/>
      <c r="D1295" s="20"/>
      <c r="E1295" s="20"/>
      <c r="F1295" s="20"/>
    </row>
    <row r="1296">
      <c r="C1296" s="20"/>
      <c r="D1296" s="20"/>
      <c r="E1296" s="20"/>
      <c r="F1296" s="20"/>
    </row>
    <row r="1297">
      <c r="C1297" s="20"/>
      <c r="D1297" s="20"/>
      <c r="E1297" s="20"/>
      <c r="F1297" s="20"/>
    </row>
    <row r="1298">
      <c r="C1298" s="20"/>
      <c r="D1298" s="20"/>
      <c r="E1298" s="20"/>
      <c r="F1298" s="20"/>
    </row>
    <row r="1299">
      <c r="C1299" s="20"/>
      <c r="D1299" s="20"/>
      <c r="E1299" s="20"/>
      <c r="F1299" s="20"/>
    </row>
    <row r="1300">
      <c r="C1300" s="20"/>
      <c r="D1300" s="20"/>
      <c r="E1300" s="20"/>
      <c r="F1300" s="20"/>
    </row>
    <row r="1301">
      <c r="C1301" s="20"/>
      <c r="D1301" s="20"/>
      <c r="E1301" s="20"/>
      <c r="F1301" s="20"/>
    </row>
    <row r="1302">
      <c r="C1302" s="20"/>
      <c r="D1302" s="20"/>
      <c r="E1302" s="20"/>
      <c r="F1302" s="20"/>
    </row>
    <row r="1303">
      <c r="C1303" s="20"/>
      <c r="D1303" s="20"/>
      <c r="E1303" s="20"/>
      <c r="F1303" s="20"/>
    </row>
    <row r="1304">
      <c r="C1304" s="20"/>
      <c r="D1304" s="20"/>
      <c r="E1304" s="20"/>
      <c r="F1304" s="20"/>
    </row>
    <row r="1305">
      <c r="C1305" s="20"/>
      <c r="D1305" s="20"/>
      <c r="E1305" s="20"/>
      <c r="F1305" s="20"/>
    </row>
    <row r="1306">
      <c r="C1306" s="20"/>
      <c r="D1306" s="20"/>
      <c r="E1306" s="20"/>
      <c r="F1306" s="20"/>
    </row>
    <row r="1307">
      <c r="C1307" s="20"/>
      <c r="D1307" s="20"/>
      <c r="E1307" s="20"/>
      <c r="F1307" s="20"/>
    </row>
    <row r="1308">
      <c r="C1308" s="20"/>
      <c r="D1308" s="20"/>
      <c r="E1308" s="20"/>
      <c r="F1308" s="20"/>
    </row>
    <row r="1309">
      <c r="C1309" s="20"/>
      <c r="D1309" s="20"/>
      <c r="E1309" s="20"/>
      <c r="F1309" s="20"/>
    </row>
    <row r="1310">
      <c r="C1310" s="20"/>
      <c r="D1310" s="20"/>
      <c r="E1310" s="20"/>
      <c r="F1310" s="20"/>
    </row>
    <row r="1311">
      <c r="C1311" s="20"/>
      <c r="D1311" s="20"/>
      <c r="E1311" s="20"/>
      <c r="F1311" s="20"/>
    </row>
    <row r="1312">
      <c r="C1312" s="20"/>
      <c r="D1312" s="20"/>
      <c r="E1312" s="20"/>
      <c r="F1312" s="20"/>
    </row>
    <row r="1313">
      <c r="C1313" s="20"/>
      <c r="D1313" s="20"/>
      <c r="E1313" s="20"/>
      <c r="F1313" s="20"/>
    </row>
    <row r="1314">
      <c r="C1314" s="20"/>
      <c r="D1314" s="20"/>
      <c r="E1314" s="20"/>
      <c r="F1314" s="20"/>
    </row>
    <row r="1315">
      <c r="C1315" s="20"/>
      <c r="D1315" s="20"/>
      <c r="E1315" s="20"/>
      <c r="F1315" s="20"/>
    </row>
    <row r="1316">
      <c r="C1316" s="20"/>
      <c r="D1316" s="20"/>
      <c r="E1316" s="20"/>
      <c r="F1316" s="20"/>
    </row>
    <row r="1317">
      <c r="C1317" s="20"/>
      <c r="D1317" s="20"/>
      <c r="E1317" s="20"/>
      <c r="F1317" s="20"/>
    </row>
    <row r="1318">
      <c r="C1318" s="20"/>
      <c r="D1318" s="20"/>
      <c r="E1318" s="20"/>
      <c r="F1318" s="20"/>
    </row>
    <row r="1319">
      <c r="C1319" s="20"/>
      <c r="D1319" s="20"/>
      <c r="E1319" s="20"/>
      <c r="F1319" s="20"/>
    </row>
    <row r="1320">
      <c r="C1320" s="20"/>
      <c r="D1320" s="20"/>
      <c r="E1320" s="20"/>
      <c r="F1320" s="20"/>
    </row>
    <row r="1321">
      <c r="C1321" s="20"/>
      <c r="D1321" s="20"/>
      <c r="E1321" s="20"/>
      <c r="F1321" s="20"/>
    </row>
    <row r="1322">
      <c r="C1322" s="20"/>
      <c r="D1322" s="20"/>
      <c r="E1322" s="20"/>
      <c r="F1322" s="20"/>
    </row>
    <row r="1323">
      <c r="C1323" s="20"/>
      <c r="D1323" s="20"/>
      <c r="E1323" s="20"/>
      <c r="F1323" s="20"/>
    </row>
    <row r="1324">
      <c r="C1324" s="20"/>
      <c r="D1324" s="20"/>
      <c r="E1324" s="20"/>
      <c r="F1324" s="20"/>
    </row>
    <row r="1325">
      <c r="C1325" s="20"/>
      <c r="D1325" s="20"/>
      <c r="E1325" s="20"/>
      <c r="F1325" s="20"/>
    </row>
    <row r="1326">
      <c r="C1326" s="20"/>
      <c r="D1326" s="20"/>
      <c r="E1326" s="20"/>
      <c r="F1326" s="20"/>
    </row>
    <row r="1327">
      <c r="C1327" s="20"/>
      <c r="D1327" s="20"/>
      <c r="E1327" s="20"/>
      <c r="F1327" s="20"/>
    </row>
    <row r="1328">
      <c r="C1328" s="20"/>
      <c r="D1328" s="20"/>
      <c r="E1328" s="20"/>
      <c r="F1328" s="20"/>
    </row>
    <row r="1329">
      <c r="C1329" s="20"/>
      <c r="D1329" s="20"/>
      <c r="E1329" s="20"/>
      <c r="F1329" s="20"/>
    </row>
    <row r="1330">
      <c r="C1330" s="20"/>
      <c r="D1330" s="20"/>
      <c r="E1330" s="20"/>
      <c r="F1330" s="20"/>
    </row>
    <row r="1331">
      <c r="C1331" s="20"/>
      <c r="D1331" s="20"/>
      <c r="E1331" s="20"/>
      <c r="F1331" s="20"/>
    </row>
    <row r="1332">
      <c r="C1332" s="20"/>
      <c r="D1332" s="20"/>
      <c r="E1332" s="20"/>
      <c r="F1332" s="20"/>
    </row>
    <row r="1333">
      <c r="C1333" s="20"/>
      <c r="D1333" s="20"/>
      <c r="E1333" s="20"/>
      <c r="F1333" s="20"/>
    </row>
    <row r="1334">
      <c r="C1334" s="20"/>
      <c r="D1334" s="20"/>
      <c r="E1334" s="20"/>
      <c r="F1334" s="20"/>
    </row>
    <row r="1335">
      <c r="C1335" s="20"/>
      <c r="D1335" s="20"/>
      <c r="E1335" s="20"/>
      <c r="F1335" s="20"/>
    </row>
    <row r="1336">
      <c r="C1336" s="20"/>
      <c r="D1336" s="20"/>
      <c r="E1336" s="20"/>
      <c r="F1336" s="20"/>
    </row>
    <row r="1337">
      <c r="C1337" s="20"/>
      <c r="D1337" s="20"/>
      <c r="E1337" s="20"/>
      <c r="F1337" s="20"/>
    </row>
    <row r="1338">
      <c r="C1338" s="20"/>
      <c r="D1338" s="20"/>
      <c r="E1338" s="20"/>
      <c r="F1338" s="20"/>
    </row>
    <row r="1339">
      <c r="C1339" s="20"/>
      <c r="D1339" s="20"/>
      <c r="E1339" s="20"/>
      <c r="F1339" s="20"/>
    </row>
    <row r="1340">
      <c r="C1340" s="20"/>
      <c r="D1340" s="20"/>
      <c r="E1340" s="20"/>
      <c r="F1340" s="20"/>
    </row>
    <row r="1341">
      <c r="C1341" s="20"/>
      <c r="D1341" s="20"/>
      <c r="E1341" s="20"/>
      <c r="F1341" s="20"/>
    </row>
    <row r="1342">
      <c r="C1342" s="20"/>
      <c r="D1342" s="20"/>
      <c r="E1342" s="20"/>
      <c r="F1342" s="20"/>
    </row>
    <row r="1343">
      <c r="C1343" s="20"/>
      <c r="D1343" s="20"/>
      <c r="E1343" s="20"/>
      <c r="F1343" s="20"/>
    </row>
    <row r="1344">
      <c r="C1344" s="20"/>
      <c r="D1344" s="20"/>
      <c r="E1344" s="20"/>
      <c r="F1344" s="20"/>
    </row>
    <row r="1345">
      <c r="C1345" s="20"/>
      <c r="D1345" s="20"/>
      <c r="E1345" s="20"/>
      <c r="F1345" s="20"/>
    </row>
    <row r="1346">
      <c r="C1346" s="20"/>
      <c r="D1346" s="20"/>
      <c r="E1346" s="20"/>
      <c r="F1346" s="20"/>
    </row>
    <row r="1347">
      <c r="C1347" s="20"/>
      <c r="D1347" s="20"/>
      <c r="E1347" s="20"/>
      <c r="F1347" s="20"/>
    </row>
    <row r="1348">
      <c r="C1348" s="20"/>
      <c r="D1348" s="20"/>
      <c r="E1348" s="20"/>
      <c r="F1348" s="20"/>
    </row>
    <row r="1349">
      <c r="C1349" s="20"/>
      <c r="D1349" s="20"/>
      <c r="E1349" s="20"/>
      <c r="F1349" s="20"/>
    </row>
    <row r="1350">
      <c r="C1350" s="20"/>
      <c r="D1350" s="20"/>
      <c r="E1350" s="20"/>
      <c r="F1350" s="20"/>
    </row>
    <row r="1351">
      <c r="C1351" s="20"/>
      <c r="D1351" s="20"/>
      <c r="E1351" s="20"/>
      <c r="F1351" s="20"/>
    </row>
    <row r="1352">
      <c r="C1352" s="20"/>
      <c r="D1352" s="20"/>
      <c r="E1352" s="20"/>
      <c r="F1352" s="20"/>
    </row>
    <row r="1353">
      <c r="C1353" s="20"/>
      <c r="D1353" s="20"/>
      <c r="E1353" s="20"/>
      <c r="F1353" s="20"/>
    </row>
    <row r="1354">
      <c r="C1354" s="20"/>
      <c r="D1354" s="20"/>
      <c r="E1354" s="20"/>
      <c r="F1354" s="20"/>
    </row>
    <row r="1355">
      <c r="C1355" s="20"/>
      <c r="D1355" s="20"/>
      <c r="E1355" s="20"/>
      <c r="F1355" s="20"/>
    </row>
    <row r="1356">
      <c r="C1356" s="20"/>
      <c r="D1356" s="20"/>
      <c r="E1356" s="20"/>
      <c r="F1356" s="20"/>
    </row>
    <row r="1357">
      <c r="C1357" s="20"/>
      <c r="D1357" s="20"/>
      <c r="E1357" s="20"/>
      <c r="F1357" s="20"/>
    </row>
    <row r="1358">
      <c r="C1358" s="20"/>
      <c r="D1358" s="20"/>
      <c r="E1358" s="20"/>
      <c r="F1358" s="20"/>
    </row>
    <row r="1359">
      <c r="C1359" s="20"/>
      <c r="D1359" s="20"/>
      <c r="E1359" s="20"/>
      <c r="F1359" s="20"/>
    </row>
    <row r="1360">
      <c r="C1360" s="20"/>
      <c r="D1360" s="20"/>
      <c r="E1360" s="20"/>
      <c r="F1360" s="20"/>
    </row>
    <row r="1361">
      <c r="C1361" s="20"/>
      <c r="D1361" s="20"/>
      <c r="E1361" s="20"/>
      <c r="F1361" s="20"/>
    </row>
    <row r="1362">
      <c r="C1362" s="20"/>
      <c r="D1362" s="20"/>
      <c r="E1362" s="20"/>
      <c r="F1362" s="20"/>
    </row>
    <row r="1363">
      <c r="C1363" s="20"/>
      <c r="D1363" s="20"/>
      <c r="E1363" s="20"/>
      <c r="F1363" s="20"/>
    </row>
    <row r="1364">
      <c r="C1364" s="20"/>
      <c r="D1364" s="20"/>
      <c r="E1364" s="20"/>
      <c r="F1364" s="20"/>
    </row>
    <row r="1365">
      <c r="C1365" s="20"/>
      <c r="D1365" s="20"/>
      <c r="E1365" s="20"/>
      <c r="F1365" s="20"/>
    </row>
    <row r="1366">
      <c r="C1366" s="20"/>
      <c r="D1366" s="20"/>
      <c r="E1366" s="20"/>
      <c r="F1366" s="20"/>
    </row>
    <row r="1367">
      <c r="C1367" s="20"/>
      <c r="D1367" s="20"/>
      <c r="E1367" s="20"/>
      <c r="F1367" s="20"/>
    </row>
    <row r="1368">
      <c r="C1368" s="20"/>
      <c r="D1368" s="20"/>
      <c r="E1368" s="20"/>
      <c r="F1368" s="20"/>
    </row>
    <row r="1369">
      <c r="C1369" s="20"/>
      <c r="D1369" s="20"/>
      <c r="E1369" s="20"/>
      <c r="F1369" s="20"/>
    </row>
    <row r="1370">
      <c r="C1370" s="20"/>
      <c r="D1370" s="20"/>
      <c r="E1370" s="20"/>
      <c r="F1370" s="20"/>
    </row>
    <row r="1371">
      <c r="C1371" s="20"/>
      <c r="D1371" s="20"/>
      <c r="E1371" s="20"/>
      <c r="F1371" s="20"/>
    </row>
    <row r="1372">
      <c r="C1372" s="20"/>
      <c r="D1372" s="20"/>
      <c r="E1372" s="20"/>
      <c r="F1372" s="20"/>
    </row>
    <row r="1373">
      <c r="C1373" s="20"/>
      <c r="D1373" s="20"/>
      <c r="E1373" s="20"/>
      <c r="F1373" s="20"/>
    </row>
    <row r="1374">
      <c r="C1374" s="20"/>
      <c r="D1374" s="20"/>
      <c r="E1374" s="20"/>
      <c r="F1374" s="20"/>
    </row>
    <row r="1375">
      <c r="C1375" s="20"/>
      <c r="D1375" s="20"/>
      <c r="E1375" s="20"/>
      <c r="F1375" s="20"/>
    </row>
    <row r="1376">
      <c r="C1376" s="20"/>
      <c r="D1376" s="20"/>
      <c r="E1376" s="20"/>
      <c r="F1376" s="20"/>
    </row>
    <row r="1377">
      <c r="C1377" s="20"/>
      <c r="D1377" s="20"/>
      <c r="E1377" s="20"/>
      <c r="F1377" s="20"/>
    </row>
    <row r="1378">
      <c r="C1378" s="20"/>
      <c r="D1378" s="20"/>
      <c r="E1378" s="20"/>
      <c r="F1378" s="20"/>
    </row>
    <row r="1379">
      <c r="C1379" s="20"/>
      <c r="D1379" s="20"/>
      <c r="E1379" s="20"/>
      <c r="F1379" s="20"/>
    </row>
    <row r="1380">
      <c r="C1380" s="20"/>
      <c r="D1380" s="20"/>
      <c r="E1380" s="20"/>
      <c r="F1380" s="20"/>
    </row>
    <row r="1381">
      <c r="C1381" s="20"/>
      <c r="D1381" s="20"/>
      <c r="E1381" s="20"/>
      <c r="F1381" s="20"/>
    </row>
    <row r="1382">
      <c r="C1382" s="20"/>
      <c r="D1382" s="20"/>
      <c r="E1382" s="20"/>
      <c r="F1382" s="20"/>
    </row>
    <row r="1383">
      <c r="C1383" s="20"/>
      <c r="D1383" s="20"/>
      <c r="E1383" s="20"/>
      <c r="F1383" s="20"/>
    </row>
    <row r="1384">
      <c r="C1384" s="20"/>
      <c r="D1384" s="20"/>
      <c r="E1384" s="20"/>
      <c r="F1384" s="20"/>
    </row>
    <row r="1385">
      <c r="C1385" s="20"/>
      <c r="D1385" s="20"/>
      <c r="E1385" s="20"/>
      <c r="F1385" s="20"/>
    </row>
    <row r="1386">
      <c r="C1386" s="20"/>
      <c r="D1386" s="20"/>
      <c r="E1386" s="20"/>
      <c r="F1386" s="20"/>
    </row>
    <row r="1387">
      <c r="C1387" s="20"/>
      <c r="D1387" s="20"/>
      <c r="E1387" s="20"/>
      <c r="F1387" s="20"/>
    </row>
    <row r="1388">
      <c r="C1388" s="20"/>
      <c r="D1388" s="20"/>
      <c r="E1388" s="20"/>
      <c r="F1388" s="20"/>
    </row>
    <row r="1389">
      <c r="C1389" s="20"/>
      <c r="D1389" s="20"/>
      <c r="E1389" s="20"/>
      <c r="F1389" s="20"/>
    </row>
    <row r="1390">
      <c r="C1390" s="20"/>
      <c r="D1390" s="20"/>
      <c r="E1390" s="20"/>
      <c r="F1390" s="20"/>
    </row>
    <row r="1391">
      <c r="C1391" s="20"/>
      <c r="D1391" s="20"/>
      <c r="E1391" s="20"/>
      <c r="F1391" s="20"/>
    </row>
    <row r="1392">
      <c r="C1392" s="20"/>
      <c r="D1392" s="20"/>
      <c r="E1392" s="20"/>
      <c r="F1392" s="20"/>
    </row>
    <row r="1393">
      <c r="C1393" s="20"/>
      <c r="D1393" s="20"/>
      <c r="E1393" s="20"/>
      <c r="F1393" s="20"/>
    </row>
    <row r="1394">
      <c r="C1394" s="20"/>
      <c r="D1394" s="20"/>
      <c r="E1394" s="20"/>
      <c r="F1394" s="20"/>
    </row>
    <row r="1395">
      <c r="C1395" s="20"/>
      <c r="D1395" s="20"/>
      <c r="E1395" s="20"/>
      <c r="F1395" s="20"/>
    </row>
    <row r="1396">
      <c r="C1396" s="20"/>
      <c r="D1396" s="20"/>
      <c r="E1396" s="20"/>
      <c r="F1396" s="20"/>
    </row>
    <row r="1397">
      <c r="C1397" s="20"/>
      <c r="D1397" s="20"/>
      <c r="E1397" s="20"/>
      <c r="F1397" s="20"/>
    </row>
    <row r="1398">
      <c r="C1398" s="20"/>
      <c r="D1398" s="20"/>
      <c r="E1398" s="20"/>
      <c r="F1398" s="20"/>
    </row>
    <row r="1399">
      <c r="C1399" s="20"/>
      <c r="D1399" s="20"/>
      <c r="E1399" s="20"/>
      <c r="F1399" s="20"/>
    </row>
    <row r="1400">
      <c r="C1400" s="20"/>
      <c r="D1400" s="20"/>
      <c r="E1400" s="20"/>
      <c r="F1400" s="20"/>
    </row>
    <row r="1401">
      <c r="C1401" s="20"/>
      <c r="D1401" s="20"/>
      <c r="E1401" s="20"/>
      <c r="F1401" s="20"/>
    </row>
    <row r="1402">
      <c r="C1402" s="20"/>
      <c r="D1402" s="20"/>
      <c r="E1402" s="20"/>
      <c r="F1402" s="20"/>
    </row>
    <row r="1403">
      <c r="C1403" s="20"/>
      <c r="D1403" s="20"/>
      <c r="E1403" s="20"/>
      <c r="F1403" s="20"/>
    </row>
    <row r="1404">
      <c r="C1404" s="20"/>
      <c r="D1404" s="20"/>
      <c r="E1404" s="20"/>
      <c r="F1404" s="20"/>
    </row>
    <row r="1405">
      <c r="C1405" s="20"/>
      <c r="D1405" s="20"/>
      <c r="E1405" s="20"/>
      <c r="F1405" s="20"/>
    </row>
    <row r="1406">
      <c r="C1406" s="20"/>
      <c r="D1406" s="20"/>
      <c r="E1406" s="20"/>
      <c r="F1406" s="20"/>
    </row>
    <row r="1407">
      <c r="C1407" s="20"/>
      <c r="D1407" s="20"/>
      <c r="E1407" s="20"/>
      <c r="F1407" s="20"/>
    </row>
    <row r="1408">
      <c r="C1408" s="20"/>
      <c r="D1408" s="20"/>
      <c r="E1408" s="20"/>
      <c r="F1408" s="20"/>
    </row>
    <row r="1409">
      <c r="C1409" s="20"/>
      <c r="D1409" s="20"/>
      <c r="E1409" s="20"/>
      <c r="F1409" s="20"/>
    </row>
    <row r="1410">
      <c r="C1410" s="20"/>
      <c r="D1410" s="20"/>
      <c r="E1410" s="20"/>
      <c r="F1410" s="20"/>
    </row>
    <row r="1411">
      <c r="C1411" s="20"/>
      <c r="D1411" s="20"/>
      <c r="E1411" s="20"/>
      <c r="F1411" s="20"/>
    </row>
    <row r="1412">
      <c r="C1412" s="20"/>
      <c r="D1412" s="20"/>
      <c r="E1412" s="20"/>
      <c r="F1412" s="20"/>
    </row>
    <row r="1413">
      <c r="C1413" s="20"/>
      <c r="D1413" s="20"/>
      <c r="E1413" s="20"/>
      <c r="F1413" s="20"/>
    </row>
    <row r="1414">
      <c r="C1414" s="20"/>
      <c r="D1414" s="20"/>
      <c r="E1414" s="20"/>
      <c r="F1414" s="20"/>
    </row>
    <row r="1415">
      <c r="C1415" s="20"/>
      <c r="D1415" s="20"/>
      <c r="E1415" s="20"/>
      <c r="F1415" s="20"/>
    </row>
    <row r="1416">
      <c r="C1416" s="20"/>
      <c r="D1416" s="20"/>
      <c r="E1416" s="20"/>
      <c r="F1416" s="20"/>
    </row>
    <row r="1417">
      <c r="C1417" s="20"/>
      <c r="D1417" s="20"/>
      <c r="E1417" s="20"/>
      <c r="F1417" s="20"/>
    </row>
    <row r="1418">
      <c r="C1418" s="20"/>
      <c r="D1418" s="20"/>
      <c r="E1418" s="20"/>
      <c r="F1418" s="20"/>
    </row>
    <row r="1419">
      <c r="C1419" s="20"/>
      <c r="D1419" s="20"/>
      <c r="E1419" s="20"/>
      <c r="F1419" s="20"/>
    </row>
    <row r="1420">
      <c r="C1420" s="20"/>
      <c r="D1420" s="20"/>
      <c r="E1420" s="20"/>
      <c r="F1420" s="20"/>
    </row>
    <row r="1421">
      <c r="C1421" s="20"/>
      <c r="D1421" s="20"/>
      <c r="E1421" s="20"/>
      <c r="F1421" s="20"/>
    </row>
    <row r="1422">
      <c r="C1422" s="20"/>
      <c r="D1422" s="20"/>
      <c r="E1422" s="20"/>
      <c r="F1422" s="20"/>
    </row>
    <row r="1423">
      <c r="C1423" s="20"/>
      <c r="D1423" s="20"/>
      <c r="E1423" s="20"/>
      <c r="F1423" s="20"/>
    </row>
    <row r="1424">
      <c r="C1424" s="20"/>
      <c r="D1424" s="20"/>
      <c r="E1424" s="20"/>
      <c r="F1424" s="20"/>
    </row>
    <row r="1425">
      <c r="C1425" s="20"/>
      <c r="D1425" s="20"/>
      <c r="E1425" s="20"/>
      <c r="F1425" s="20"/>
    </row>
    <row r="1426">
      <c r="C1426" s="20"/>
      <c r="D1426" s="20"/>
      <c r="E1426" s="20"/>
      <c r="F1426" s="20"/>
    </row>
    <row r="1427">
      <c r="C1427" s="20"/>
      <c r="D1427" s="20"/>
      <c r="E1427" s="20"/>
      <c r="F1427" s="20"/>
    </row>
    <row r="1428">
      <c r="C1428" s="20"/>
      <c r="D1428" s="20"/>
      <c r="E1428" s="20"/>
      <c r="F1428" s="20"/>
    </row>
    <row r="1429">
      <c r="C1429" s="20"/>
      <c r="D1429" s="20"/>
      <c r="E1429" s="20"/>
      <c r="F1429" s="20"/>
    </row>
    <row r="1430">
      <c r="C1430" s="20"/>
      <c r="D1430" s="20"/>
      <c r="E1430" s="20"/>
      <c r="F1430" s="20"/>
    </row>
    <row r="1431">
      <c r="C1431" s="20"/>
      <c r="D1431" s="20"/>
      <c r="E1431" s="20"/>
      <c r="F1431" s="20"/>
    </row>
    <row r="1432">
      <c r="C1432" s="20"/>
      <c r="D1432" s="20"/>
      <c r="E1432" s="20"/>
      <c r="F1432" s="20"/>
    </row>
    <row r="1433">
      <c r="C1433" s="20"/>
      <c r="D1433" s="20"/>
      <c r="E1433" s="20"/>
      <c r="F1433" s="20"/>
    </row>
    <row r="1434">
      <c r="C1434" s="20"/>
      <c r="D1434" s="20"/>
      <c r="E1434" s="20"/>
      <c r="F1434" s="20"/>
    </row>
    <row r="1435">
      <c r="C1435" s="20"/>
      <c r="D1435" s="20"/>
      <c r="E1435" s="20"/>
      <c r="F1435" s="20"/>
    </row>
    <row r="1436">
      <c r="C1436" s="20"/>
      <c r="D1436" s="20"/>
      <c r="E1436" s="20"/>
      <c r="F1436" s="20"/>
    </row>
    <row r="1437">
      <c r="C1437" s="20"/>
      <c r="D1437" s="20"/>
      <c r="E1437" s="20"/>
      <c r="F1437" s="20"/>
    </row>
    <row r="1438">
      <c r="C1438" s="20"/>
      <c r="D1438" s="20"/>
      <c r="E1438" s="20"/>
      <c r="F1438" s="20"/>
    </row>
    <row r="1439">
      <c r="C1439" s="20"/>
      <c r="D1439" s="20"/>
      <c r="E1439" s="20"/>
      <c r="F1439" s="20"/>
    </row>
    <row r="1440">
      <c r="C1440" s="20"/>
      <c r="D1440" s="20"/>
      <c r="E1440" s="20"/>
      <c r="F1440" s="20"/>
    </row>
    <row r="1441">
      <c r="C1441" s="20"/>
      <c r="D1441" s="20"/>
      <c r="E1441" s="20"/>
      <c r="F1441" s="20"/>
    </row>
    <row r="1442">
      <c r="C1442" s="20"/>
      <c r="D1442" s="20"/>
      <c r="E1442" s="20"/>
      <c r="F1442" s="20"/>
    </row>
    <row r="1443">
      <c r="C1443" s="20"/>
      <c r="D1443" s="20"/>
      <c r="E1443" s="20"/>
      <c r="F1443" s="20"/>
    </row>
    <row r="1444">
      <c r="C1444" s="20"/>
      <c r="D1444" s="20"/>
      <c r="E1444" s="20"/>
      <c r="F1444" s="20"/>
    </row>
    <row r="1445">
      <c r="C1445" s="20"/>
      <c r="D1445" s="20"/>
      <c r="E1445" s="20"/>
      <c r="F1445" s="20"/>
    </row>
    <row r="1446">
      <c r="C1446" s="20"/>
      <c r="D1446" s="20"/>
      <c r="E1446" s="20"/>
      <c r="F1446" s="20"/>
    </row>
    <row r="1447">
      <c r="C1447" s="20"/>
      <c r="D1447" s="20"/>
      <c r="E1447" s="20"/>
      <c r="F1447" s="20"/>
    </row>
    <row r="1448">
      <c r="C1448" s="20"/>
      <c r="D1448" s="20"/>
      <c r="E1448" s="20"/>
      <c r="F1448" s="20"/>
    </row>
    <row r="1449">
      <c r="C1449" s="20"/>
      <c r="D1449" s="20"/>
      <c r="E1449" s="20"/>
      <c r="F1449" s="20"/>
    </row>
    <row r="1450">
      <c r="C1450" s="20"/>
      <c r="D1450" s="20"/>
      <c r="E1450" s="20"/>
      <c r="F1450" s="20"/>
    </row>
    <row r="1451">
      <c r="C1451" s="20"/>
      <c r="D1451" s="20"/>
      <c r="E1451" s="20"/>
      <c r="F1451" s="20"/>
    </row>
    <row r="1452">
      <c r="C1452" s="20"/>
      <c r="D1452" s="20"/>
      <c r="E1452" s="20"/>
      <c r="F1452" s="20"/>
    </row>
    <row r="1453">
      <c r="C1453" s="20"/>
      <c r="D1453" s="20"/>
      <c r="E1453" s="20"/>
      <c r="F1453" s="20"/>
    </row>
    <row r="1454">
      <c r="C1454" s="20"/>
      <c r="D1454" s="20"/>
      <c r="E1454" s="20"/>
      <c r="F1454" s="20"/>
    </row>
    <row r="1455">
      <c r="C1455" s="20"/>
      <c r="D1455" s="20"/>
      <c r="E1455" s="20"/>
      <c r="F1455" s="20"/>
    </row>
    <row r="1456">
      <c r="C1456" s="20"/>
      <c r="D1456" s="20"/>
      <c r="E1456" s="20"/>
      <c r="F1456" s="20"/>
    </row>
    <row r="1457">
      <c r="C1457" s="20"/>
      <c r="D1457" s="20"/>
      <c r="E1457" s="20"/>
      <c r="F1457" s="20"/>
    </row>
    <row r="1458">
      <c r="C1458" s="20"/>
      <c r="D1458" s="20"/>
      <c r="E1458" s="20"/>
      <c r="F1458" s="20"/>
    </row>
    <row r="1459">
      <c r="C1459" s="20"/>
      <c r="D1459" s="20"/>
      <c r="E1459" s="20"/>
      <c r="F1459" s="20"/>
    </row>
    <row r="1460">
      <c r="C1460" s="20"/>
      <c r="D1460" s="20"/>
      <c r="E1460" s="20"/>
      <c r="F1460" s="20"/>
    </row>
    <row r="1461">
      <c r="C1461" s="20"/>
      <c r="D1461" s="20"/>
      <c r="E1461" s="20"/>
      <c r="F1461" s="20"/>
    </row>
    <row r="1462">
      <c r="C1462" s="20"/>
      <c r="D1462" s="20"/>
      <c r="E1462" s="20"/>
      <c r="F1462" s="20"/>
    </row>
    <row r="1463">
      <c r="C1463" s="20"/>
      <c r="D1463" s="20"/>
      <c r="E1463" s="20"/>
      <c r="F1463" s="20"/>
    </row>
    <row r="1464">
      <c r="C1464" s="20"/>
      <c r="D1464" s="20"/>
      <c r="E1464" s="20"/>
      <c r="F1464" s="20"/>
    </row>
    <row r="1465">
      <c r="C1465" s="20"/>
      <c r="D1465" s="20"/>
      <c r="E1465" s="20"/>
      <c r="F1465" s="20"/>
    </row>
    <row r="1466">
      <c r="C1466" s="20"/>
      <c r="D1466" s="20"/>
      <c r="E1466" s="20"/>
      <c r="F1466" s="20"/>
    </row>
    <row r="1467">
      <c r="C1467" s="20"/>
      <c r="D1467" s="20"/>
      <c r="E1467" s="20"/>
      <c r="F1467" s="20"/>
    </row>
    <row r="1468">
      <c r="C1468" s="20"/>
      <c r="D1468" s="20"/>
      <c r="E1468" s="20"/>
      <c r="F1468" s="20"/>
    </row>
    <row r="1469">
      <c r="C1469" s="20"/>
      <c r="D1469" s="20"/>
      <c r="E1469" s="20"/>
      <c r="F1469" s="20"/>
    </row>
    <row r="1470">
      <c r="C1470" s="20"/>
      <c r="D1470" s="20"/>
      <c r="E1470" s="20"/>
      <c r="F1470" s="20"/>
    </row>
    <row r="1471">
      <c r="C1471" s="20"/>
      <c r="D1471" s="20"/>
      <c r="E1471" s="20"/>
      <c r="F1471" s="20"/>
    </row>
    <row r="1472">
      <c r="C1472" s="20"/>
      <c r="D1472" s="20"/>
      <c r="E1472" s="20"/>
      <c r="F1472" s="20"/>
    </row>
    <row r="1473">
      <c r="C1473" s="20"/>
      <c r="D1473" s="20"/>
      <c r="E1473" s="20"/>
      <c r="F1473" s="20"/>
    </row>
    <row r="1474">
      <c r="C1474" s="20"/>
      <c r="D1474" s="20"/>
      <c r="E1474" s="20"/>
      <c r="F1474" s="20"/>
    </row>
    <row r="1475">
      <c r="C1475" s="20"/>
      <c r="D1475" s="20"/>
      <c r="E1475" s="20"/>
      <c r="F1475" s="20"/>
    </row>
    <row r="1476">
      <c r="C1476" s="20"/>
      <c r="D1476" s="20"/>
      <c r="E1476" s="20"/>
      <c r="F1476" s="20"/>
    </row>
    <row r="1477">
      <c r="C1477" s="20"/>
      <c r="D1477" s="20"/>
      <c r="E1477" s="20"/>
      <c r="F1477" s="20"/>
    </row>
    <row r="1478">
      <c r="C1478" s="20"/>
      <c r="D1478" s="20"/>
      <c r="E1478" s="20"/>
      <c r="F1478" s="20"/>
    </row>
    <row r="1479">
      <c r="C1479" s="20"/>
      <c r="D1479" s="20"/>
      <c r="E1479" s="20"/>
      <c r="F1479" s="20"/>
    </row>
    <row r="1480">
      <c r="C1480" s="20"/>
      <c r="D1480" s="20"/>
      <c r="E1480" s="20"/>
      <c r="F1480" s="20"/>
    </row>
    <row r="1481">
      <c r="C1481" s="20"/>
      <c r="D1481" s="20"/>
      <c r="E1481" s="20"/>
      <c r="F1481" s="20"/>
    </row>
    <row r="1482">
      <c r="C1482" s="20"/>
      <c r="D1482" s="20"/>
      <c r="E1482" s="20"/>
      <c r="F1482" s="20"/>
    </row>
    <row r="1483">
      <c r="C1483" s="20"/>
      <c r="D1483" s="20"/>
      <c r="E1483" s="20"/>
      <c r="F1483" s="20"/>
    </row>
    <row r="1484">
      <c r="C1484" s="20"/>
      <c r="D1484" s="20"/>
      <c r="E1484" s="20"/>
      <c r="F1484" s="20"/>
    </row>
    <row r="1485">
      <c r="C1485" s="20"/>
      <c r="D1485" s="20"/>
      <c r="E1485" s="20"/>
      <c r="F1485" s="20"/>
    </row>
    <row r="1486">
      <c r="C1486" s="20"/>
      <c r="D1486" s="20"/>
      <c r="E1486" s="20"/>
      <c r="F1486" s="20"/>
    </row>
    <row r="1487">
      <c r="C1487" s="20"/>
      <c r="D1487" s="20"/>
      <c r="E1487" s="20"/>
      <c r="F1487" s="20"/>
    </row>
    <row r="1488">
      <c r="C1488" s="20"/>
      <c r="D1488" s="20"/>
      <c r="E1488" s="20"/>
      <c r="F1488" s="20"/>
    </row>
    <row r="1489">
      <c r="C1489" s="20"/>
      <c r="D1489" s="20"/>
      <c r="E1489" s="20"/>
      <c r="F1489" s="20"/>
    </row>
    <row r="1490">
      <c r="C1490" s="20"/>
      <c r="D1490" s="20"/>
      <c r="E1490" s="20"/>
      <c r="F1490" s="20"/>
    </row>
    <row r="1491">
      <c r="C1491" s="20"/>
      <c r="D1491" s="20"/>
      <c r="E1491" s="20"/>
      <c r="F1491" s="20"/>
    </row>
    <row r="1492">
      <c r="C1492" s="20"/>
      <c r="D1492" s="20"/>
      <c r="E1492" s="20"/>
      <c r="F1492" s="20"/>
    </row>
    <row r="1493">
      <c r="C1493" s="20"/>
      <c r="D1493" s="20"/>
      <c r="E1493" s="20"/>
      <c r="F1493" s="20"/>
    </row>
    <row r="1494">
      <c r="C1494" s="20"/>
      <c r="D1494" s="20"/>
      <c r="E1494" s="20"/>
      <c r="F1494" s="20"/>
    </row>
    <row r="1495">
      <c r="C1495" s="20"/>
      <c r="D1495" s="20"/>
      <c r="E1495" s="20"/>
      <c r="F1495" s="20"/>
    </row>
    <row r="1496">
      <c r="C1496" s="20"/>
      <c r="D1496" s="20"/>
      <c r="E1496" s="20"/>
      <c r="F1496" s="20"/>
    </row>
    <row r="1497">
      <c r="C1497" s="20"/>
      <c r="D1497" s="20"/>
      <c r="E1497" s="20"/>
      <c r="F1497" s="20"/>
    </row>
    <row r="1498">
      <c r="C1498" s="20"/>
      <c r="D1498" s="20"/>
      <c r="E1498" s="20"/>
      <c r="F1498" s="20"/>
    </row>
    <row r="1499">
      <c r="C1499" s="20"/>
      <c r="D1499" s="20"/>
      <c r="E1499" s="20"/>
      <c r="F1499" s="20"/>
    </row>
    <row r="1500">
      <c r="C1500" s="20"/>
      <c r="D1500" s="20"/>
      <c r="E1500" s="20"/>
      <c r="F1500" s="20"/>
    </row>
    <row r="1501">
      <c r="C1501" s="20"/>
      <c r="D1501" s="20"/>
      <c r="E1501" s="20"/>
      <c r="F1501" s="20"/>
    </row>
    <row r="1502">
      <c r="C1502" s="20"/>
      <c r="D1502" s="20"/>
      <c r="E1502" s="20"/>
      <c r="F1502" s="20"/>
    </row>
    <row r="1503">
      <c r="C1503" s="20"/>
      <c r="D1503" s="20"/>
      <c r="E1503" s="20"/>
      <c r="F1503" s="20"/>
    </row>
    <row r="1504">
      <c r="C1504" s="20"/>
      <c r="D1504" s="20"/>
      <c r="E1504" s="20"/>
      <c r="F1504" s="20"/>
    </row>
    <row r="1505">
      <c r="C1505" s="20"/>
      <c r="D1505" s="20"/>
      <c r="E1505" s="20"/>
      <c r="F1505" s="20"/>
    </row>
    <row r="1506">
      <c r="C1506" s="20"/>
      <c r="D1506" s="20"/>
      <c r="E1506" s="20"/>
      <c r="F1506" s="20"/>
    </row>
    <row r="1507">
      <c r="C1507" s="20"/>
      <c r="D1507" s="20"/>
      <c r="E1507" s="20"/>
      <c r="F1507" s="20"/>
    </row>
    <row r="1508">
      <c r="C1508" s="20"/>
      <c r="D1508" s="20"/>
      <c r="E1508" s="20"/>
      <c r="F1508" s="20"/>
    </row>
    <row r="1509">
      <c r="C1509" s="20"/>
      <c r="D1509" s="20"/>
      <c r="E1509" s="20"/>
      <c r="F1509" s="20"/>
    </row>
    <row r="1510">
      <c r="C1510" s="20"/>
      <c r="D1510" s="20"/>
      <c r="E1510" s="20"/>
      <c r="F1510" s="20"/>
    </row>
    <row r="1511">
      <c r="C1511" s="20"/>
      <c r="D1511" s="20"/>
      <c r="E1511" s="20"/>
      <c r="F1511" s="20"/>
    </row>
    <row r="1512">
      <c r="C1512" s="20"/>
      <c r="D1512" s="20"/>
      <c r="E1512" s="20"/>
      <c r="F1512" s="20"/>
    </row>
    <row r="1513">
      <c r="C1513" s="20"/>
      <c r="D1513" s="20"/>
      <c r="E1513" s="20"/>
      <c r="F1513" s="20"/>
    </row>
    <row r="1514">
      <c r="C1514" s="20"/>
      <c r="D1514" s="20"/>
      <c r="E1514" s="20"/>
      <c r="F1514" s="20"/>
    </row>
    <row r="1515">
      <c r="C1515" s="20"/>
      <c r="D1515" s="20"/>
      <c r="E1515" s="20"/>
      <c r="F1515" s="20"/>
    </row>
    <row r="1516">
      <c r="C1516" s="20"/>
      <c r="D1516" s="20"/>
      <c r="E1516" s="20"/>
      <c r="F1516" s="20"/>
    </row>
    <row r="1517">
      <c r="C1517" s="20"/>
      <c r="D1517" s="20"/>
      <c r="E1517" s="20"/>
      <c r="F1517" s="20"/>
    </row>
    <row r="1518">
      <c r="C1518" s="20"/>
      <c r="D1518" s="20"/>
      <c r="E1518" s="20"/>
      <c r="F1518" s="20"/>
    </row>
    <row r="1519">
      <c r="C1519" s="20"/>
      <c r="D1519" s="20"/>
      <c r="E1519" s="20"/>
      <c r="F1519" s="20"/>
    </row>
    <row r="1520">
      <c r="C1520" s="20"/>
      <c r="D1520" s="20"/>
      <c r="E1520" s="20"/>
      <c r="F1520" s="20"/>
    </row>
    <row r="1521">
      <c r="C1521" s="20"/>
      <c r="D1521" s="20"/>
      <c r="E1521" s="20"/>
      <c r="F1521" s="20"/>
    </row>
    <row r="1522">
      <c r="C1522" s="20"/>
      <c r="D1522" s="20"/>
      <c r="E1522" s="20"/>
      <c r="F1522" s="20"/>
    </row>
    <row r="1523">
      <c r="C1523" s="20"/>
      <c r="D1523" s="20"/>
      <c r="E1523" s="20"/>
      <c r="F1523" s="20"/>
    </row>
    <row r="1524">
      <c r="C1524" s="20"/>
      <c r="D1524" s="20"/>
      <c r="E1524" s="20"/>
      <c r="F1524" s="20"/>
    </row>
    <row r="1525">
      <c r="C1525" s="20"/>
      <c r="D1525" s="20"/>
      <c r="E1525" s="20"/>
      <c r="F1525" s="20"/>
    </row>
    <row r="1526">
      <c r="C1526" s="20"/>
      <c r="D1526" s="20"/>
      <c r="E1526" s="20"/>
      <c r="F1526" s="20"/>
    </row>
    <row r="1527">
      <c r="C1527" s="20"/>
      <c r="D1527" s="20"/>
      <c r="E1527" s="20"/>
      <c r="F1527" s="20"/>
    </row>
    <row r="1528">
      <c r="C1528" s="20"/>
      <c r="D1528" s="20"/>
      <c r="E1528" s="20"/>
      <c r="F1528" s="20"/>
    </row>
    <row r="1529">
      <c r="C1529" s="20"/>
      <c r="D1529" s="20"/>
      <c r="E1529" s="20"/>
      <c r="F1529" s="20"/>
    </row>
    <row r="1530">
      <c r="C1530" s="20"/>
      <c r="D1530" s="20"/>
      <c r="E1530" s="20"/>
      <c r="F1530" s="20"/>
    </row>
    <row r="1531">
      <c r="C1531" s="20"/>
      <c r="D1531" s="20"/>
      <c r="E1531" s="20"/>
      <c r="F1531" s="20"/>
    </row>
    <row r="1532">
      <c r="C1532" s="20"/>
      <c r="D1532" s="20"/>
      <c r="E1532" s="20"/>
      <c r="F1532" s="20"/>
    </row>
    <row r="1533">
      <c r="C1533" s="20"/>
      <c r="D1533" s="20"/>
      <c r="E1533" s="20"/>
      <c r="F1533" s="20"/>
    </row>
    <row r="1534">
      <c r="C1534" s="20"/>
      <c r="D1534" s="20"/>
      <c r="E1534" s="20"/>
      <c r="F1534" s="20"/>
    </row>
    <row r="1535">
      <c r="C1535" s="20"/>
      <c r="D1535" s="20"/>
      <c r="E1535" s="20"/>
      <c r="F1535" s="20"/>
    </row>
    <row r="1536">
      <c r="C1536" s="20"/>
      <c r="D1536" s="20"/>
      <c r="E1536" s="20"/>
      <c r="F1536" s="20"/>
    </row>
    <row r="1537">
      <c r="C1537" s="20"/>
      <c r="D1537" s="20"/>
      <c r="E1537" s="20"/>
      <c r="F1537" s="20"/>
    </row>
    <row r="1538">
      <c r="C1538" s="20"/>
      <c r="D1538" s="20"/>
      <c r="E1538" s="20"/>
      <c r="F1538" s="20"/>
    </row>
    <row r="1539">
      <c r="C1539" s="20"/>
      <c r="D1539" s="20"/>
      <c r="E1539" s="20"/>
      <c r="F1539" s="20"/>
    </row>
    <row r="1540">
      <c r="C1540" s="20"/>
      <c r="D1540" s="20"/>
      <c r="E1540" s="20"/>
      <c r="F1540" s="20"/>
    </row>
    <row r="1541">
      <c r="C1541" s="20"/>
      <c r="D1541" s="20"/>
      <c r="E1541" s="20"/>
      <c r="F1541" s="20"/>
    </row>
    <row r="1542">
      <c r="C1542" s="20"/>
      <c r="D1542" s="20"/>
      <c r="E1542" s="20"/>
      <c r="F1542" s="20"/>
    </row>
    <row r="1543">
      <c r="C1543" s="20"/>
      <c r="D1543" s="20"/>
      <c r="E1543" s="20"/>
      <c r="F1543" s="20"/>
    </row>
    <row r="1544">
      <c r="C1544" s="20"/>
      <c r="D1544" s="20"/>
      <c r="E1544" s="20"/>
      <c r="F1544" s="20"/>
    </row>
    <row r="1545">
      <c r="C1545" s="20"/>
      <c r="D1545" s="20"/>
      <c r="E1545" s="20"/>
      <c r="F1545" s="20"/>
    </row>
    <row r="1546">
      <c r="C1546" s="20"/>
      <c r="D1546" s="20"/>
      <c r="E1546" s="20"/>
      <c r="F1546" s="20"/>
    </row>
    <row r="1547">
      <c r="C1547" s="20"/>
      <c r="D1547" s="20"/>
      <c r="E1547" s="20"/>
      <c r="F1547" s="20"/>
    </row>
    <row r="1548">
      <c r="C1548" s="20"/>
      <c r="D1548" s="20"/>
      <c r="E1548" s="20"/>
      <c r="F1548" s="20"/>
    </row>
    <row r="1549">
      <c r="C1549" s="20"/>
      <c r="D1549" s="20"/>
      <c r="E1549" s="20"/>
      <c r="F1549" s="20"/>
    </row>
    <row r="1550">
      <c r="C1550" s="20"/>
      <c r="D1550" s="20"/>
      <c r="E1550" s="20"/>
      <c r="F1550" s="20"/>
    </row>
    <row r="1551">
      <c r="C1551" s="20"/>
      <c r="D1551" s="20"/>
      <c r="E1551" s="20"/>
      <c r="F1551" s="20"/>
    </row>
    <row r="1552">
      <c r="C1552" s="20"/>
      <c r="D1552" s="20"/>
      <c r="E1552" s="20"/>
      <c r="F1552" s="20"/>
    </row>
    <row r="1553">
      <c r="C1553" s="20"/>
      <c r="D1553" s="20"/>
      <c r="E1553" s="20"/>
      <c r="F1553" s="20"/>
    </row>
    <row r="1554">
      <c r="C1554" s="20"/>
      <c r="D1554" s="20"/>
      <c r="E1554" s="20"/>
      <c r="F1554" s="20"/>
    </row>
    <row r="1555">
      <c r="C1555" s="20"/>
      <c r="D1555" s="20"/>
      <c r="E1555" s="20"/>
      <c r="F1555" s="20"/>
    </row>
    <row r="1556">
      <c r="C1556" s="20"/>
      <c r="D1556" s="20"/>
      <c r="E1556" s="20"/>
      <c r="F1556" s="20"/>
    </row>
    <row r="1557">
      <c r="C1557" s="20"/>
      <c r="D1557" s="20"/>
      <c r="E1557" s="20"/>
      <c r="F1557" s="20"/>
    </row>
    <row r="1558">
      <c r="C1558" s="20"/>
      <c r="D1558" s="20"/>
      <c r="E1558" s="20"/>
      <c r="F1558" s="20"/>
    </row>
    <row r="1559">
      <c r="C1559" s="20"/>
      <c r="D1559" s="20"/>
      <c r="E1559" s="20"/>
      <c r="F1559" s="20"/>
    </row>
    <row r="1560">
      <c r="C1560" s="20"/>
      <c r="D1560" s="20"/>
      <c r="E1560" s="20"/>
      <c r="F1560" s="20"/>
    </row>
    <row r="1561">
      <c r="C1561" s="20"/>
      <c r="D1561" s="20"/>
      <c r="E1561" s="20"/>
      <c r="F1561" s="20"/>
    </row>
    <row r="1562">
      <c r="C1562" s="20"/>
      <c r="D1562" s="20"/>
      <c r="E1562" s="20"/>
      <c r="F1562" s="20"/>
    </row>
    <row r="1563">
      <c r="C1563" s="20"/>
      <c r="D1563" s="20"/>
      <c r="E1563" s="20"/>
      <c r="F1563" s="20"/>
    </row>
    <row r="1564">
      <c r="C1564" s="20"/>
      <c r="D1564" s="20"/>
      <c r="E1564" s="20"/>
      <c r="F1564" s="20"/>
    </row>
    <row r="1565">
      <c r="C1565" s="20"/>
      <c r="D1565" s="20"/>
      <c r="E1565" s="20"/>
      <c r="F1565" s="20"/>
    </row>
    <row r="1566">
      <c r="C1566" s="20"/>
      <c r="D1566" s="20"/>
      <c r="E1566" s="20"/>
      <c r="F1566" s="20"/>
    </row>
    <row r="1567">
      <c r="C1567" s="20"/>
      <c r="D1567" s="20"/>
      <c r="E1567" s="20"/>
      <c r="F1567" s="20"/>
    </row>
    <row r="1568">
      <c r="C1568" s="20"/>
      <c r="D1568" s="20"/>
      <c r="E1568" s="20"/>
      <c r="F1568" s="20"/>
    </row>
    <row r="1569">
      <c r="C1569" s="20"/>
      <c r="D1569" s="20"/>
      <c r="E1569" s="20"/>
      <c r="F1569" s="20"/>
    </row>
    <row r="1570">
      <c r="C1570" s="20"/>
      <c r="D1570" s="20"/>
      <c r="E1570" s="20"/>
      <c r="F1570" s="20"/>
    </row>
    <row r="1571">
      <c r="C1571" s="20"/>
      <c r="D1571" s="20"/>
      <c r="E1571" s="20"/>
      <c r="F1571" s="20"/>
    </row>
    <row r="1572">
      <c r="C1572" s="20"/>
      <c r="D1572" s="20"/>
      <c r="E1572" s="20"/>
      <c r="F1572" s="20"/>
    </row>
    <row r="1573">
      <c r="C1573" s="20"/>
      <c r="D1573" s="20"/>
      <c r="E1573" s="20"/>
      <c r="F1573" s="20"/>
    </row>
    <row r="1574">
      <c r="C1574" s="20"/>
      <c r="D1574" s="20"/>
      <c r="E1574" s="20"/>
      <c r="F1574" s="20"/>
    </row>
    <row r="1575">
      <c r="C1575" s="20"/>
      <c r="D1575" s="20"/>
      <c r="E1575" s="20"/>
      <c r="F1575" s="20"/>
    </row>
    <row r="1576">
      <c r="C1576" s="20"/>
      <c r="D1576" s="20"/>
      <c r="E1576" s="20"/>
      <c r="F1576" s="20"/>
    </row>
    <row r="1577">
      <c r="C1577" s="20"/>
      <c r="D1577" s="20"/>
      <c r="E1577" s="20"/>
      <c r="F1577" s="20"/>
    </row>
    <row r="1578">
      <c r="C1578" s="20"/>
      <c r="D1578" s="20"/>
      <c r="E1578" s="20"/>
      <c r="F1578" s="20"/>
    </row>
    <row r="1579">
      <c r="C1579" s="20"/>
      <c r="D1579" s="20"/>
      <c r="E1579" s="20"/>
      <c r="F1579" s="20"/>
    </row>
    <row r="1580">
      <c r="C1580" s="20"/>
      <c r="D1580" s="20"/>
      <c r="E1580" s="20"/>
      <c r="F1580" s="20"/>
    </row>
    <row r="1581">
      <c r="C1581" s="20"/>
      <c r="D1581" s="20"/>
      <c r="E1581" s="20"/>
      <c r="F1581" s="20"/>
    </row>
    <row r="1582">
      <c r="C1582" s="20"/>
      <c r="D1582" s="20"/>
      <c r="E1582" s="20"/>
      <c r="F1582" s="20"/>
    </row>
    <row r="1583">
      <c r="C1583" s="20"/>
      <c r="D1583" s="20"/>
      <c r="E1583" s="20"/>
      <c r="F1583" s="20"/>
    </row>
    <row r="1584">
      <c r="C1584" s="20"/>
      <c r="D1584" s="20"/>
      <c r="E1584" s="20"/>
      <c r="F1584" s="20"/>
    </row>
    <row r="1585">
      <c r="C1585" s="20"/>
      <c r="D1585" s="20"/>
      <c r="E1585" s="20"/>
      <c r="F1585" s="20"/>
    </row>
    <row r="1586">
      <c r="C1586" s="20"/>
      <c r="D1586" s="20"/>
      <c r="E1586" s="20"/>
      <c r="F1586" s="20"/>
    </row>
    <row r="1587">
      <c r="C1587" s="20"/>
      <c r="D1587" s="20"/>
      <c r="E1587" s="20"/>
      <c r="F1587" s="20"/>
    </row>
    <row r="1588">
      <c r="C1588" s="20"/>
      <c r="D1588" s="20"/>
      <c r="E1588" s="20"/>
      <c r="F1588" s="20"/>
    </row>
    <row r="1589">
      <c r="C1589" s="20"/>
      <c r="D1589" s="20"/>
      <c r="E1589" s="20"/>
      <c r="F1589" s="20"/>
    </row>
    <row r="1590">
      <c r="C1590" s="20"/>
      <c r="D1590" s="20"/>
      <c r="E1590" s="20"/>
      <c r="F1590" s="20"/>
    </row>
    <row r="1591">
      <c r="C1591" s="20"/>
      <c r="D1591" s="20"/>
      <c r="E1591" s="20"/>
      <c r="F1591" s="20"/>
    </row>
    <row r="1592">
      <c r="C1592" s="20"/>
      <c r="D1592" s="20"/>
      <c r="E1592" s="20"/>
      <c r="F1592" s="20"/>
    </row>
    <row r="1593">
      <c r="C1593" s="20"/>
      <c r="D1593" s="20"/>
      <c r="E1593" s="20"/>
      <c r="F1593" s="20"/>
    </row>
    <row r="1594">
      <c r="C1594" s="20"/>
      <c r="D1594" s="20"/>
      <c r="E1594" s="20"/>
      <c r="F1594" s="20"/>
    </row>
    <row r="1595">
      <c r="C1595" s="20"/>
      <c r="D1595" s="20"/>
      <c r="E1595" s="20"/>
      <c r="F1595" s="20"/>
    </row>
    <row r="1596">
      <c r="C1596" s="20"/>
      <c r="D1596" s="20"/>
      <c r="E1596" s="20"/>
      <c r="F1596" s="20"/>
    </row>
    <row r="1597">
      <c r="C1597" s="20"/>
      <c r="D1597" s="20"/>
      <c r="E1597" s="20"/>
      <c r="F1597" s="20"/>
    </row>
    <row r="1598">
      <c r="C1598" s="20"/>
      <c r="D1598" s="20"/>
      <c r="E1598" s="20"/>
      <c r="F1598" s="20"/>
    </row>
    <row r="1599">
      <c r="C1599" s="20"/>
      <c r="D1599" s="20"/>
      <c r="E1599" s="20"/>
      <c r="F1599" s="20"/>
    </row>
    <row r="1600">
      <c r="C1600" s="20"/>
      <c r="D1600" s="20"/>
      <c r="E1600" s="20"/>
      <c r="F1600" s="20"/>
    </row>
    <row r="1601">
      <c r="C1601" s="20"/>
      <c r="D1601" s="20"/>
      <c r="E1601" s="20"/>
      <c r="F1601" s="20"/>
    </row>
    <row r="1602">
      <c r="C1602" s="20"/>
      <c r="D1602" s="20"/>
      <c r="E1602" s="20"/>
      <c r="F1602" s="20"/>
    </row>
    <row r="1603">
      <c r="C1603" s="20"/>
      <c r="D1603" s="20"/>
      <c r="E1603" s="20"/>
      <c r="F1603" s="20"/>
    </row>
    <row r="1604">
      <c r="C1604" s="20"/>
      <c r="D1604" s="20"/>
      <c r="E1604" s="20"/>
      <c r="F1604" s="20"/>
    </row>
    <row r="1605">
      <c r="C1605" s="20"/>
      <c r="D1605" s="20"/>
      <c r="E1605" s="20"/>
      <c r="F1605" s="20"/>
    </row>
    <row r="1606">
      <c r="C1606" s="20"/>
      <c r="D1606" s="20"/>
      <c r="E1606" s="20"/>
      <c r="F1606" s="20"/>
    </row>
    <row r="1607">
      <c r="C1607" s="20"/>
      <c r="D1607" s="20"/>
      <c r="E1607" s="20"/>
      <c r="F1607" s="20"/>
    </row>
    <row r="1608">
      <c r="C1608" s="20"/>
      <c r="D1608" s="20"/>
      <c r="E1608" s="20"/>
      <c r="F1608" s="20"/>
    </row>
    <row r="1609">
      <c r="C1609" s="20"/>
      <c r="D1609" s="20"/>
      <c r="E1609" s="20"/>
      <c r="F1609" s="20"/>
    </row>
    <row r="1610">
      <c r="C1610" s="20"/>
      <c r="D1610" s="20"/>
      <c r="E1610" s="20"/>
      <c r="F1610" s="20"/>
    </row>
    <row r="1611">
      <c r="C1611" s="20"/>
      <c r="D1611" s="20"/>
      <c r="E1611" s="20"/>
      <c r="F1611" s="20"/>
    </row>
    <row r="1612">
      <c r="C1612" s="20"/>
      <c r="D1612" s="20"/>
      <c r="E1612" s="20"/>
      <c r="F1612" s="20"/>
    </row>
    <row r="1613">
      <c r="C1613" s="20"/>
      <c r="D1613" s="20"/>
      <c r="E1613" s="20"/>
      <c r="F1613" s="20"/>
    </row>
    <row r="1614">
      <c r="C1614" s="20"/>
      <c r="D1614" s="20"/>
      <c r="E1614" s="20"/>
      <c r="F1614" s="20"/>
    </row>
    <row r="1615">
      <c r="C1615" s="20"/>
      <c r="D1615" s="20"/>
      <c r="E1615" s="20"/>
      <c r="F1615" s="20"/>
    </row>
    <row r="1616">
      <c r="C1616" s="20"/>
      <c r="D1616" s="20"/>
      <c r="E1616" s="20"/>
      <c r="F1616" s="20"/>
    </row>
    <row r="1617">
      <c r="C1617" s="20"/>
      <c r="D1617" s="20"/>
      <c r="E1617" s="20"/>
      <c r="F1617" s="20"/>
    </row>
    <row r="1618">
      <c r="C1618" s="20"/>
      <c r="D1618" s="20"/>
      <c r="E1618" s="20"/>
      <c r="F1618" s="20"/>
    </row>
    <row r="1619">
      <c r="C1619" s="20"/>
      <c r="D1619" s="20"/>
      <c r="E1619" s="20"/>
      <c r="F1619" s="20"/>
    </row>
    <row r="1620">
      <c r="C1620" s="20"/>
      <c r="D1620" s="20"/>
      <c r="E1620" s="20"/>
      <c r="F1620" s="20"/>
    </row>
    <row r="1621">
      <c r="C1621" s="20"/>
      <c r="D1621" s="20"/>
      <c r="E1621" s="20"/>
      <c r="F1621" s="20"/>
    </row>
    <row r="1622">
      <c r="C1622" s="20"/>
      <c r="D1622" s="20"/>
      <c r="E1622" s="20"/>
      <c r="F1622" s="20"/>
    </row>
    <row r="1623">
      <c r="C1623" s="20"/>
      <c r="D1623" s="20"/>
      <c r="E1623" s="20"/>
      <c r="F1623" s="20"/>
    </row>
    <row r="1624">
      <c r="C1624" s="20"/>
      <c r="D1624" s="20"/>
      <c r="E1624" s="20"/>
      <c r="F1624" s="20"/>
    </row>
    <row r="1625">
      <c r="C1625" s="20"/>
      <c r="D1625" s="20"/>
      <c r="E1625" s="20"/>
      <c r="F1625" s="20"/>
    </row>
    <row r="1626">
      <c r="C1626" s="20"/>
      <c r="D1626" s="20"/>
      <c r="E1626" s="20"/>
      <c r="F1626" s="20"/>
    </row>
    <row r="1627">
      <c r="C1627" s="20"/>
      <c r="D1627" s="20"/>
      <c r="E1627" s="20"/>
      <c r="F1627" s="20"/>
    </row>
    <row r="1628">
      <c r="C1628" s="20"/>
      <c r="D1628" s="20"/>
      <c r="E1628" s="20"/>
      <c r="F1628" s="20"/>
    </row>
    <row r="1629">
      <c r="C1629" s="20"/>
      <c r="D1629" s="20"/>
      <c r="E1629" s="20"/>
      <c r="F1629" s="20"/>
    </row>
    <row r="1630">
      <c r="C1630" s="20"/>
      <c r="D1630" s="20"/>
      <c r="E1630" s="20"/>
      <c r="F1630" s="20"/>
    </row>
    <row r="1631">
      <c r="C1631" s="20"/>
      <c r="D1631" s="20"/>
      <c r="E1631" s="20"/>
      <c r="F1631" s="20"/>
    </row>
    <row r="1632">
      <c r="C1632" s="20"/>
      <c r="D1632" s="20"/>
      <c r="E1632" s="20"/>
      <c r="F1632" s="20"/>
    </row>
    <row r="1633">
      <c r="C1633" s="20"/>
      <c r="D1633" s="20"/>
      <c r="E1633" s="20"/>
      <c r="F1633" s="20"/>
    </row>
    <row r="1634">
      <c r="C1634" s="20"/>
      <c r="D1634" s="20"/>
      <c r="E1634" s="20"/>
      <c r="F1634" s="20"/>
    </row>
    <row r="1635">
      <c r="C1635" s="20"/>
      <c r="D1635" s="20"/>
      <c r="E1635" s="20"/>
      <c r="F1635" s="20"/>
    </row>
    <row r="1636">
      <c r="C1636" s="20"/>
      <c r="D1636" s="20"/>
      <c r="E1636" s="20"/>
      <c r="F1636" s="20"/>
    </row>
    <row r="1637">
      <c r="C1637" s="20"/>
      <c r="D1637" s="20"/>
      <c r="E1637" s="20"/>
      <c r="F1637" s="20"/>
    </row>
    <row r="1638">
      <c r="C1638" s="20"/>
      <c r="D1638" s="20"/>
      <c r="E1638" s="20"/>
      <c r="F1638" s="20"/>
    </row>
    <row r="1639">
      <c r="C1639" s="20"/>
      <c r="D1639" s="20"/>
      <c r="E1639" s="20"/>
      <c r="F1639" s="20"/>
    </row>
    <row r="1640">
      <c r="C1640" s="20"/>
      <c r="D1640" s="20"/>
      <c r="E1640" s="20"/>
      <c r="F1640" s="20"/>
    </row>
    <row r="1641">
      <c r="C1641" s="20"/>
      <c r="D1641" s="20"/>
      <c r="E1641" s="20"/>
      <c r="F1641" s="20"/>
    </row>
    <row r="1642">
      <c r="C1642" s="20"/>
      <c r="D1642" s="20"/>
      <c r="E1642" s="20"/>
      <c r="F1642" s="20"/>
    </row>
    <row r="1643">
      <c r="C1643" s="20"/>
      <c r="D1643" s="20"/>
      <c r="E1643" s="20"/>
      <c r="F1643" s="20"/>
    </row>
    <row r="1644">
      <c r="C1644" s="20"/>
      <c r="D1644" s="20"/>
      <c r="E1644" s="20"/>
      <c r="F1644" s="20"/>
    </row>
    <row r="1645">
      <c r="C1645" s="20"/>
      <c r="D1645" s="20"/>
      <c r="E1645" s="20"/>
      <c r="F1645" s="20"/>
    </row>
    <row r="1646">
      <c r="C1646" s="20"/>
      <c r="D1646" s="20"/>
      <c r="E1646" s="20"/>
      <c r="F1646" s="20"/>
    </row>
    <row r="1647">
      <c r="C1647" s="20"/>
      <c r="D1647" s="20"/>
      <c r="E1647" s="20"/>
      <c r="F1647" s="20"/>
    </row>
    <row r="1648">
      <c r="C1648" s="20"/>
      <c r="D1648" s="20"/>
      <c r="E1648" s="20"/>
      <c r="F1648" s="20"/>
    </row>
    <row r="1649">
      <c r="C1649" s="20"/>
      <c r="D1649" s="20"/>
      <c r="E1649" s="20"/>
      <c r="F1649" s="20"/>
    </row>
    <row r="1650">
      <c r="C1650" s="20"/>
      <c r="D1650" s="20"/>
      <c r="E1650" s="20"/>
      <c r="F1650" s="20"/>
    </row>
    <row r="1651">
      <c r="C1651" s="20"/>
      <c r="D1651" s="20"/>
      <c r="E1651" s="20"/>
      <c r="F1651" s="20"/>
    </row>
    <row r="1652">
      <c r="C1652" s="20"/>
      <c r="D1652" s="20"/>
      <c r="E1652" s="20"/>
      <c r="F1652" s="20"/>
    </row>
    <row r="1653">
      <c r="C1653" s="20"/>
      <c r="D1653" s="20"/>
      <c r="E1653" s="20"/>
      <c r="F1653" s="20"/>
    </row>
    <row r="1654">
      <c r="C1654" s="20"/>
      <c r="D1654" s="20"/>
      <c r="E1654" s="20"/>
      <c r="F1654" s="20"/>
    </row>
    <row r="1655">
      <c r="C1655" s="20"/>
      <c r="D1655" s="20"/>
      <c r="E1655" s="20"/>
      <c r="F1655" s="20"/>
    </row>
    <row r="1656">
      <c r="C1656" s="20"/>
      <c r="D1656" s="20"/>
      <c r="E1656" s="20"/>
      <c r="F1656" s="20"/>
    </row>
    <row r="1657">
      <c r="C1657" s="20"/>
      <c r="D1657" s="20"/>
      <c r="E1657" s="20"/>
      <c r="F1657" s="20"/>
    </row>
    <row r="1658">
      <c r="C1658" s="20"/>
      <c r="D1658" s="20"/>
      <c r="E1658" s="20"/>
      <c r="F1658" s="20"/>
    </row>
    <row r="1659">
      <c r="C1659" s="20"/>
      <c r="D1659" s="20"/>
      <c r="E1659" s="20"/>
      <c r="F1659" s="20"/>
    </row>
    <row r="1660">
      <c r="C1660" s="20"/>
      <c r="D1660" s="20"/>
      <c r="E1660" s="20"/>
      <c r="F1660" s="20"/>
    </row>
    <row r="1661">
      <c r="C1661" s="20"/>
      <c r="D1661" s="20"/>
      <c r="E1661" s="20"/>
      <c r="F1661" s="20"/>
    </row>
    <row r="1662">
      <c r="C1662" s="20"/>
      <c r="D1662" s="20"/>
      <c r="E1662" s="20"/>
      <c r="F1662" s="20"/>
    </row>
    <row r="1663">
      <c r="C1663" s="20"/>
      <c r="D1663" s="20"/>
      <c r="E1663" s="20"/>
      <c r="F1663" s="20"/>
    </row>
    <row r="1664">
      <c r="C1664" s="20"/>
      <c r="D1664" s="20"/>
      <c r="E1664" s="20"/>
      <c r="F1664" s="20"/>
    </row>
    <row r="1665">
      <c r="C1665" s="20"/>
      <c r="D1665" s="20"/>
      <c r="E1665" s="20"/>
      <c r="F1665" s="20"/>
    </row>
    <row r="1666">
      <c r="C1666" s="20"/>
      <c r="D1666" s="20"/>
      <c r="E1666" s="20"/>
      <c r="F1666" s="20"/>
    </row>
    <row r="1667">
      <c r="C1667" s="20"/>
      <c r="D1667" s="20"/>
      <c r="E1667" s="20"/>
      <c r="F1667" s="20"/>
    </row>
    <row r="1668">
      <c r="C1668" s="20"/>
      <c r="D1668" s="20"/>
      <c r="E1668" s="20"/>
      <c r="F1668" s="20"/>
    </row>
    <row r="1669">
      <c r="C1669" s="20"/>
      <c r="D1669" s="20"/>
      <c r="E1669" s="20"/>
      <c r="F1669" s="20"/>
    </row>
    <row r="1670">
      <c r="C1670" s="20"/>
      <c r="D1670" s="20"/>
      <c r="E1670" s="20"/>
      <c r="F1670" s="20"/>
    </row>
    <row r="1671">
      <c r="C1671" s="20"/>
      <c r="D1671" s="20"/>
      <c r="E1671" s="20"/>
      <c r="F1671" s="20"/>
    </row>
    <row r="1672">
      <c r="C1672" s="20"/>
      <c r="D1672" s="20"/>
      <c r="E1672" s="20"/>
      <c r="F1672" s="20"/>
    </row>
    <row r="1673">
      <c r="C1673" s="20"/>
      <c r="D1673" s="20"/>
      <c r="E1673" s="20"/>
      <c r="F1673" s="20"/>
    </row>
    <row r="1674">
      <c r="C1674" s="20"/>
      <c r="D1674" s="20"/>
      <c r="E1674" s="20"/>
      <c r="F1674" s="20"/>
    </row>
    <row r="1675">
      <c r="C1675" s="20"/>
      <c r="D1675" s="20"/>
      <c r="E1675" s="20"/>
      <c r="F1675" s="20"/>
    </row>
    <row r="1676">
      <c r="C1676" s="20"/>
      <c r="D1676" s="20"/>
      <c r="E1676" s="20"/>
      <c r="F1676" s="20"/>
    </row>
    <row r="1677">
      <c r="C1677" s="20"/>
      <c r="D1677" s="20"/>
      <c r="E1677" s="20"/>
      <c r="F1677" s="20"/>
    </row>
    <row r="1678">
      <c r="C1678" s="20"/>
      <c r="D1678" s="20"/>
      <c r="E1678" s="20"/>
      <c r="F1678" s="20"/>
    </row>
    <row r="1679">
      <c r="C1679" s="20"/>
      <c r="D1679" s="20"/>
      <c r="E1679" s="20"/>
      <c r="F1679" s="20"/>
    </row>
    <row r="1680">
      <c r="C1680" s="20"/>
      <c r="D1680" s="20"/>
      <c r="E1680" s="20"/>
      <c r="F1680" s="20"/>
    </row>
    <row r="1681">
      <c r="C1681" s="20"/>
      <c r="D1681" s="20"/>
      <c r="E1681" s="20"/>
      <c r="F1681" s="20"/>
    </row>
    <row r="1682">
      <c r="C1682" s="20"/>
      <c r="D1682" s="20"/>
      <c r="E1682" s="20"/>
      <c r="F1682" s="20"/>
    </row>
    <row r="1683">
      <c r="C1683" s="20"/>
      <c r="D1683" s="20"/>
      <c r="E1683" s="20"/>
      <c r="F1683" s="20"/>
    </row>
    <row r="1684">
      <c r="C1684" s="20"/>
      <c r="D1684" s="20"/>
      <c r="E1684" s="20"/>
      <c r="F1684" s="20"/>
    </row>
    <row r="1685">
      <c r="C1685" s="20"/>
      <c r="D1685" s="20"/>
      <c r="E1685" s="20"/>
      <c r="F1685" s="20"/>
    </row>
    <row r="1686">
      <c r="C1686" s="20"/>
      <c r="D1686" s="20"/>
      <c r="E1686" s="20"/>
      <c r="F1686" s="20"/>
    </row>
    <row r="1687">
      <c r="C1687" s="20"/>
      <c r="D1687" s="20"/>
      <c r="E1687" s="20"/>
      <c r="F1687" s="20"/>
    </row>
    <row r="1688">
      <c r="C1688" s="20"/>
      <c r="D1688" s="20"/>
      <c r="E1688" s="20"/>
      <c r="F1688" s="20"/>
    </row>
    <row r="1689">
      <c r="C1689" s="20"/>
      <c r="D1689" s="20"/>
      <c r="E1689" s="20"/>
      <c r="F1689" s="20"/>
    </row>
    <row r="1690">
      <c r="C1690" s="20"/>
      <c r="D1690" s="20"/>
      <c r="E1690" s="20"/>
      <c r="F1690" s="20"/>
    </row>
    <row r="1691">
      <c r="C1691" s="20"/>
      <c r="D1691" s="20"/>
      <c r="E1691" s="20"/>
      <c r="F1691" s="20"/>
    </row>
    <row r="1692">
      <c r="C1692" s="20"/>
      <c r="D1692" s="20"/>
      <c r="E1692" s="20"/>
      <c r="F1692" s="20"/>
    </row>
    <row r="1693">
      <c r="C1693" s="20"/>
      <c r="D1693" s="20"/>
      <c r="E1693" s="20"/>
      <c r="F1693" s="20"/>
    </row>
    <row r="1694">
      <c r="C1694" s="20"/>
      <c r="D1694" s="20"/>
      <c r="E1694" s="20"/>
      <c r="F1694" s="20"/>
    </row>
    <row r="1695">
      <c r="C1695" s="20"/>
      <c r="D1695" s="20"/>
      <c r="E1695" s="20"/>
      <c r="F1695" s="20"/>
    </row>
    <row r="1696">
      <c r="C1696" s="20"/>
      <c r="D1696" s="20"/>
      <c r="E1696" s="20"/>
      <c r="F1696" s="20"/>
    </row>
    <row r="1697">
      <c r="C1697" s="20"/>
      <c r="D1697" s="20"/>
      <c r="E1697" s="20"/>
      <c r="F1697" s="20"/>
    </row>
    <row r="1698">
      <c r="C1698" s="20"/>
      <c r="D1698" s="20"/>
      <c r="E1698" s="20"/>
      <c r="F1698" s="20"/>
    </row>
    <row r="1699">
      <c r="C1699" s="20"/>
      <c r="D1699" s="20"/>
      <c r="E1699" s="20"/>
      <c r="F1699" s="20"/>
    </row>
    <row r="1700">
      <c r="C1700" s="20"/>
      <c r="D1700" s="20"/>
      <c r="E1700" s="20"/>
      <c r="F1700" s="20"/>
    </row>
    <row r="1701">
      <c r="C1701" s="20"/>
      <c r="D1701" s="20"/>
      <c r="E1701" s="20"/>
      <c r="F1701" s="20"/>
    </row>
    <row r="1702">
      <c r="C1702" s="20"/>
      <c r="D1702" s="20"/>
      <c r="E1702" s="20"/>
      <c r="F1702" s="20"/>
    </row>
    <row r="1703">
      <c r="C1703" s="20"/>
      <c r="D1703" s="20"/>
      <c r="E1703" s="20"/>
      <c r="F1703" s="20"/>
    </row>
    <row r="1704">
      <c r="C1704" s="20"/>
      <c r="D1704" s="20"/>
      <c r="E1704" s="20"/>
      <c r="F1704" s="20"/>
    </row>
    <row r="1705">
      <c r="C1705" s="20"/>
      <c r="D1705" s="20"/>
      <c r="E1705" s="20"/>
      <c r="F1705" s="20"/>
    </row>
    <row r="1706">
      <c r="C1706" s="20"/>
      <c r="D1706" s="20"/>
      <c r="E1706" s="20"/>
      <c r="F1706" s="20"/>
    </row>
    <row r="1707">
      <c r="C1707" s="20"/>
      <c r="D1707" s="20"/>
      <c r="E1707" s="20"/>
      <c r="F1707" s="20"/>
    </row>
    <row r="1708">
      <c r="C1708" s="20"/>
      <c r="D1708" s="20"/>
      <c r="E1708" s="20"/>
      <c r="F1708" s="20"/>
    </row>
    <row r="1709">
      <c r="C1709" s="20"/>
      <c r="D1709" s="20"/>
      <c r="E1709" s="20"/>
      <c r="F1709" s="20"/>
    </row>
    <row r="1710">
      <c r="C1710" s="20"/>
      <c r="D1710" s="20"/>
      <c r="E1710" s="20"/>
      <c r="F1710" s="20"/>
    </row>
    <row r="1711">
      <c r="C1711" s="20"/>
      <c r="D1711" s="20"/>
      <c r="E1711" s="20"/>
      <c r="F1711" s="20"/>
    </row>
    <row r="1712">
      <c r="C1712" s="20"/>
      <c r="D1712" s="20"/>
      <c r="E1712" s="20"/>
      <c r="F1712" s="20"/>
    </row>
    <row r="1713">
      <c r="C1713" s="20"/>
      <c r="D1713" s="20"/>
      <c r="E1713" s="20"/>
      <c r="F1713" s="20"/>
    </row>
    <row r="1714">
      <c r="C1714" s="20"/>
      <c r="D1714" s="20"/>
      <c r="E1714" s="20"/>
      <c r="F1714" s="20"/>
    </row>
    <row r="1715">
      <c r="C1715" s="20"/>
      <c r="D1715" s="20"/>
      <c r="E1715" s="20"/>
      <c r="F1715" s="20"/>
    </row>
    <row r="1716">
      <c r="C1716" s="20"/>
      <c r="D1716" s="20"/>
      <c r="E1716" s="20"/>
      <c r="F1716" s="20"/>
    </row>
    <row r="1717">
      <c r="C1717" s="20"/>
      <c r="D1717" s="20"/>
      <c r="E1717" s="20"/>
      <c r="F1717" s="20"/>
    </row>
    <row r="1718">
      <c r="C1718" s="20"/>
      <c r="D1718" s="20"/>
      <c r="E1718" s="20"/>
      <c r="F1718" s="20"/>
    </row>
    <row r="1719">
      <c r="C1719" s="20"/>
      <c r="D1719" s="20"/>
      <c r="E1719" s="20"/>
      <c r="F1719" s="20"/>
    </row>
    <row r="1720">
      <c r="C1720" s="20"/>
      <c r="D1720" s="20"/>
      <c r="E1720" s="20"/>
      <c r="F1720" s="20"/>
    </row>
    <row r="1721">
      <c r="C1721" s="20"/>
      <c r="D1721" s="20"/>
      <c r="E1721" s="20"/>
      <c r="F1721" s="20"/>
    </row>
    <row r="1722">
      <c r="C1722" s="20"/>
      <c r="D1722" s="20"/>
      <c r="E1722" s="20"/>
      <c r="F1722" s="20"/>
    </row>
    <row r="1723">
      <c r="C1723" s="20"/>
      <c r="D1723" s="20"/>
      <c r="E1723" s="20"/>
      <c r="F1723" s="20"/>
    </row>
    <row r="1724">
      <c r="C1724" s="20"/>
      <c r="D1724" s="20"/>
      <c r="E1724" s="20"/>
      <c r="F1724" s="20"/>
    </row>
    <row r="1725">
      <c r="C1725" s="20"/>
      <c r="D1725" s="20"/>
      <c r="E1725" s="20"/>
      <c r="F1725" s="20"/>
    </row>
    <row r="1726">
      <c r="C1726" s="20"/>
      <c r="D1726" s="20"/>
      <c r="E1726" s="20"/>
      <c r="F1726" s="20"/>
    </row>
    <row r="1727">
      <c r="C1727" s="20"/>
      <c r="D1727" s="20"/>
      <c r="E1727" s="20"/>
      <c r="F1727" s="20"/>
    </row>
    <row r="1728">
      <c r="C1728" s="20"/>
      <c r="D1728" s="20"/>
      <c r="E1728" s="20"/>
      <c r="F1728" s="20"/>
    </row>
    <row r="1729">
      <c r="C1729" s="20"/>
      <c r="D1729" s="20"/>
      <c r="E1729" s="20"/>
      <c r="F1729" s="20"/>
    </row>
    <row r="1730">
      <c r="C1730" s="20"/>
      <c r="D1730" s="20"/>
      <c r="E1730" s="20"/>
      <c r="F1730" s="20"/>
    </row>
    <row r="1731">
      <c r="C1731" s="20"/>
      <c r="D1731" s="20"/>
      <c r="E1731" s="20"/>
      <c r="F1731" s="20"/>
    </row>
    <row r="1732">
      <c r="C1732" s="20"/>
      <c r="D1732" s="20"/>
      <c r="E1732" s="20"/>
      <c r="F1732" s="20"/>
    </row>
    <row r="1733">
      <c r="C1733" s="20"/>
      <c r="D1733" s="20"/>
      <c r="E1733" s="20"/>
      <c r="F1733" s="20"/>
    </row>
    <row r="1734">
      <c r="C1734" s="20"/>
      <c r="D1734" s="20"/>
      <c r="E1734" s="20"/>
      <c r="F1734" s="20"/>
    </row>
    <row r="1735">
      <c r="C1735" s="20"/>
      <c r="D1735" s="20"/>
      <c r="E1735" s="20"/>
      <c r="F1735" s="20"/>
    </row>
    <row r="1736">
      <c r="C1736" s="20"/>
      <c r="D1736" s="20"/>
      <c r="E1736" s="20"/>
      <c r="F1736" s="20"/>
    </row>
    <row r="1737">
      <c r="C1737" s="20"/>
      <c r="D1737" s="20"/>
      <c r="E1737" s="20"/>
      <c r="F1737" s="20"/>
    </row>
    <row r="1738">
      <c r="C1738" s="20"/>
      <c r="D1738" s="20"/>
      <c r="E1738" s="20"/>
      <c r="F1738" s="20"/>
    </row>
    <row r="1739">
      <c r="C1739" s="20"/>
      <c r="D1739" s="20"/>
      <c r="E1739" s="20"/>
      <c r="F1739" s="20"/>
    </row>
    <row r="1740">
      <c r="C1740" s="20"/>
      <c r="D1740" s="20"/>
      <c r="E1740" s="20"/>
      <c r="F1740" s="20"/>
    </row>
    <row r="1741">
      <c r="C1741" s="20"/>
      <c r="D1741" s="20"/>
      <c r="E1741" s="20"/>
      <c r="F1741" s="20"/>
    </row>
    <row r="1742">
      <c r="C1742" s="20"/>
      <c r="D1742" s="20"/>
      <c r="E1742" s="20"/>
      <c r="F1742" s="20"/>
    </row>
    <row r="1743">
      <c r="C1743" s="20"/>
      <c r="D1743" s="20"/>
      <c r="E1743" s="20"/>
      <c r="F1743" s="20"/>
    </row>
    <row r="1744">
      <c r="C1744" s="20"/>
      <c r="D1744" s="20"/>
      <c r="E1744" s="20"/>
      <c r="F1744" s="20"/>
    </row>
    <row r="1745">
      <c r="C1745" s="20"/>
      <c r="D1745" s="20"/>
      <c r="E1745" s="20"/>
      <c r="F1745" s="20"/>
    </row>
    <row r="1746">
      <c r="C1746" s="20"/>
      <c r="D1746" s="20"/>
      <c r="E1746" s="20"/>
      <c r="F1746" s="20"/>
    </row>
    <row r="1747">
      <c r="C1747" s="20"/>
      <c r="D1747" s="20"/>
      <c r="E1747" s="20"/>
      <c r="F1747" s="20"/>
    </row>
    <row r="1748">
      <c r="C1748" s="20"/>
      <c r="D1748" s="20"/>
      <c r="E1748" s="20"/>
      <c r="F1748" s="20"/>
    </row>
    <row r="1749">
      <c r="C1749" s="20"/>
      <c r="D1749" s="20"/>
      <c r="E1749" s="20"/>
      <c r="F1749" s="20"/>
    </row>
    <row r="1750">
      <c r="C1750" s="20"/>
      <c r="D1750" s="20"/>
      <c r="E1750" s="20"/>
      <c r="F1750" s="20"/>
    </row>
    <row r="1751">
      <c r="C1751" s="20"/>
      <c r="D1751" s="20"/>
      <c r="E1751" s="20"/>
      <c r="F1751" s="20"/>
    </row>
    <row r="1752">
      <c r="C1752" s="20"/>
      <c r="D1752" s="20"/>
      <c r="E1752" s="20"/>
      <c r="F1752" s="20"/>
    </row>
    <row r="1753">
      <c r="C1753" s="20"/>
      <c r="D1753" s="20"/>
      <c r="E1753" s="20"/>
      <c r="F1753" s="20"/>
    </row>
    <row r="1754">
      <c r="C1754" s="20"/>
      <c r="D1754" s="20"/>
      <c r="E1754" s="20"/>
      <c r="F1754" s="20"/>
    </row>
    <row r="1755">
      <c r="C1755" s="20"/>
      <c r="D1755" s="20"/>
      <c r="E1755" s="20"/>
      <c r="F1755" s="20"/>
    </row>
    <row r="1756">
      <c r="C1756" s="20"/>
      <c r="D1756" s="20"/>
      <c r="E1756" s="20"/>
      <c r="F1756" s="20"/>
    </row>
    <row r="1757">
      <c r="C1757" s="20"/>
      <c r="D1757" s="20"/>
      <c r="E1757" s="20"/>
      <c r="F1757" s="20"/>
    </row>
    <row r="1758">
      <c r="C1758" s="20"/>
      <c r="D1758" s="20"/>
      <c r="E1758" s="20"/>
      <c r="F1758" s="20"/>
    </row>
    <row r="1759">
      <c r="C1759" s="20"/>
      <c r="D1759" s="20"/>
      <c r="E1759" s="20"/>
      <c r="F1759" s="20"/>
    </row>
    <row r="1760">
      <c r="C1760" s="20"/>
      <c r="D1760" s="20"/>
      <c r="E1760" s="20"/>
      <c r="F1760" s="20"/>
    </row>
    <row r="1761">
      <c r="C1761" s="20"/>
      <c r="D1761" s="20"/>
      <c r="E1761" s="20"/>
      <c r="F1761" s="20"/>
    </row>
    <row r="1762">
      <c r="C1762" s="20"/>
      <c r="D1762" s="20"/>
      <c r="E1762" s="20"/>
      <c r="F1762" s="20"/>
    </row>
    <row r="1763">
      <c r="C1763" s="20"/>
      <c r="D1763" s="20"/>
      <c r="E1763" s="20"/>
      <c r="F1763" s="20"/>
    </row>
    <row r="1764">
      <c r="C1764" s="20"/>
      <c r="D1764" s="20"/>
      <c r="E1764" s="20"/>
      <c r="F1764" s="20"/>
    </row>
    <row r="1765">
      <c r="C1765" s="20"/>
      <c r="D1765" s="20"/>
      <c r="E1765" s="20"/>
      <c r="F1765" s="20"/>
    </row>
    <row r="1766">
      <c r="C1766" s="20"/>
      <c r="D1766" s="20"/>
      <c r="E1766" s="20"/>
      <c r="F1766" s="20"/>
    </row>
    <row r="1767">
      <c r="C1767" s="20"/>
      <c r="D1767" s="20"/>
      <c r="E1767" s="20"/>
      <c r="F1767" s="20"/>
    </row>
    <row r="1768">
      <c r="C1768" s="20"/>
      <c r="D1768" s="20"/>
      <c r="E1768" s="20"/>
      <c r="F1768" s="20"/>
    </row>
    <row r="1769">
      <c r="C1769" s="20"/>
      <c r="D1769" s="20"/>
      <c r="E1769" s="20"/>
      <c r="F1769" s="20"/>
    </row>
    <row r="1770">
      <c r="C1770" s="20"/>
      <c r="D1770" s="20"/>
      <c r="E1770" s="20"/>
      <c r="F1770" s="20"/>
    </row>
    <row r="1771">
      <c r="C1771" s="20"/>
      <c r="D1771" s="20"/>
      <c r="E1771" s="20"/>
      <c r="F1771" s="20"/>
    </row>
    <row r="1772">
      <c r="C1772" s="20"/>
      <c r="D1772" s="20"/>
      <c r="E1772" s="20"/>
      <c r="F1772" s="20"/>
    </row>
    <row r="1773">
      <c r="C1773" s="20"/>
      <c r="D1773" s="20"/>
      <c r="E1773" s="20"/>
      <c r="F1773" s="20"/>
    </row>
    <row r="1774">
      <c r="C1774" s="20"/>
      <c r="D1774" s="20"/>
      <c r="E1774" s="20"/>
      <c r="F1774" s="20"/>
    </row>
    <row r="1775">
      <c r="C1775" s="20"/>
      <c r="D1775" s="20"/>
      <c r="E1775" s="20"/>
      <c r="F1775" s="20"/>
    </row>
    <row r="1776">
      <c r="C1776" s="20"/>
      <c r="D1776" s="20"/>
      <c r="E1776" s="20"/>
      <c r="F1776" s="20"/>
    </row>
    <row r="1777">
      <c r="C1777" s="20"/>
      <c r="D1777" s="20"/>
      <c r="E1777" s="20"/>
      <c r="F1777" s="20"/>
    </row>
    <row r="1778">
      <c r="C1778" s="20"/>
      <c r="D1778" s="20"/>
      <c r="E1778" s="20"/>
      <c r="F1778" s="20"/>
    </row>
    <row r="1779">
      <c r="C1779" s="20"/>
      <c r="D1779" s="20"/>
      <c r="E1779" s="20"/>
      <c r="F1779" s="20"/>
    </row>
    <row r="1780">
      <c r="C1780" s="20"/>
      <c r="D1780" s="20"/>
      <c r="E1780" s="20"/>
      <c r="F1780" s="20"/>
    </row>
    <row r="1781">
      <c r="C1781" s="20"/>
      <c r="D1781" s="20"/>
      <c r="E1781" s="20"/>
      <c r="F1781" s="20"/>
    </row>
    <row r="1782">
      <c r="C1782" s="20"/>
      <c r="D1782" s="20"/>
      <c r="E1782" s="20"/>
      <c r="F1782" s="20"/>
    </row>
    <row r="1783">
      <c r="C1783" s="20"/>
      <c r="D1783" s="20"/>
      <c r="E1783" s="20"/>
      <c r="F1783" s="20"/>
    </row>
    <row r="1784">
      <c r="C1784" s="20"/>
      <c r="D1784" s="20"/>
      <c r="E1784" s="20"/>
      <c r="F1784" s="20"/>
    </row>
    <row r="1785">
      <c r="C1785" s="20"/>
      <c r="D1785" s="20"/>
      <c r="E1785" s="20"/>
      <c r="F1785" s="20"/>
    </row>
    <row r="1786">
      <c r="C1786" s="20"/>
      <c r="D1786" s="20"/>
      <c r="E1786" s="20"/>
      <c r="F1786" s="20"/>
    </row>
    <row r="1787">
      <c r="C1787" s="20"/>
      <c r="D1787" s="20"/>
      <c r="E1787" s="20"/>
      <c r="F1787" s="20"/>
    </row>
    <row r="1788">
      <c r="C1788" s="20"/>
      <c r="D1788" s="20"/>
      <c r="E1788" s="20"/>
      <c r="F1788" s="20"/>
    </row>
    <row r="1789">
      <c r="C1789" s="20"/>
      <c r="D1789" s="20"/>
      <c r="E1789" s="20"/>
      <c r="F1789" s="20"/>
    </row>
    <row r="1790">
      <c r="C1790" s="20"/>
      <c r="D1790" s="20"/>
      <c r="E1790" s="20"/>
      <c r="F1790" s="20"/>
    </row>
    <row r="1791">
      <c r="C1791" s="20"/>
      <c r="D1791" s="20"/>
      <c r="E1791" s="20"/>
      <c r="F1791" s="20"/>
    </row>
    <row r="1792">
      <c r="C1792" s="20"/>
      <c r="D1792" s="20"/>
      <c r="E1792" s="20"/>
      <c r="F1792" s="20"/>
    </row>
    <row r="1793">
      <c r="C1793" s="20"/>
      <c r="D1793" s="20"/>
      <c r="E1793" s="20"/>
      <c r="F1793" s="20"/>
    </row>
    <row r="1794">
      <c r="C1794" s="20"/>
      <c r="D1794" s="20"/>
      <c r="E1794" s="20"/>
      <c r="F1794" s="20"/>
    </row>
    <row r="1795">
      <c r="C1795" s="20"/>
      <c r="D1795" s="20"/>
      <c r="E1795" s="20"/>
      <c r="F1795" s="20"/>
    </row>
    <row r="1796">
      <c r="C1796" s="20"/>
      <c r="D1796" s="20"/>
      <c r="E1796" s="20"/>
      <c r="F1796" s="20"/>
    </row>
    <row r="1797">
      <c r="C1797" s="20"/>
      <c r="D1797" s="20"/>
      <c r="E1797" s="20"/>
      <c r="F1797" s="20"/>
    </row>
    <row r="1798">
      <c r="C1798" s="20"/>
      <c r="D1798" s="20"/>
      <c r="E1798" s="20"/>
      <c r="F1798" s="20"/>
    </row>
    <row r="1799">
      <c r="C1799" s="20"/>
      <c r="D1799" s="20"/>
      <c r="E1799" s="20"/>
      <c r="F1799" s="20"/>
    </row>
    <row r="1800">
      <c r="C1800" s="20"/>
      <c r="D1800" s="20"/>
      <c r="E1800" s="20"/>
      <c r="F1800" s="20"/>
    </row>
    <row r="1801">
      <c r="C1801" s="20"/>
      <c r="D1801" s="20"/>
      <c r="E1801" s="20"/>
      <c r="F1801" s="20"/>
    </row>
    <row r="1802">
      <c r="C1802" s="20"/>
      <c r="D1802" s="20"/>
      <c r="E1802" s="20"/>
      <c r="F1802" s="20"/>
    </row>
    <row r="1803">
      <c r="C1803" s="20"/>
      <c r="D1803" s="20"/>
      <c r="E1803" s="20"/>
      <c r="F1803" s="20"/>
    </row>
    <row r="1804">
      <c r="C1804" s="20"/>
      <c r="D1804" s="20"/>
      <c r="E1804" s="20"/>
      <c r="F1804" s="20"/>
    </row>
    <row r="1805">
      <c r="C1805" s="20"/>
      <c r="D1805" s="20"/>
      <c r="E1805" s="20"/>
      <c r="F1805" s="20"/>
    </row>
    <row r="1806">
      <c r="C1806" s="20"/>
      <c r="D1806" s="20"/>
      <c r="E1806" s="20"/>
      <c r="F1806" s="20"/>
    </row>
    <row r="1807">
      <c r="C1807" s="20"/>
      <c r="D1807" s="20"/>
      <c r="E1807" s="20"/>
      <c r="F1807" s="20"/>
    </row>
    <row r="1808">
      <c r="C1808" s="20"/>
      <c r="D1808" s="20"/>
      <c r="E1808" s="20"/>
      <c r="F1808" s="20"/>
    </row>
    <row r="1809">
      <c r="C1809" s="20"/>
      <c r="D1809" s="20"/>
      <c r="E1809" s="20"/>
      <c r="F1809" s="20"/>
    </row>
    <row r="1810">
      <c r="C1810" s="20"/>
      <c r="D1810" s="20"/>
      <c r="E1810" s="20"/>
      <c r="F1810" s="20"/>
    </row>
    <row r="1811">
      <c r="C1811" s="20"/>
      <c r="D1811" s="20"/>
      <c r="E1811" s="20"/>
      <c r="F1811" s="20"/>
    </row>
    <row r="1812">
      <c r="C1812" s="20"/>
      <c r="D1812" s="20"/>
      <c r="E1812" s="20"/>
      <c r="F1812" s="20"/>
    </row>
    <row r="1813">
      <c r="C1813" s="20"/>
      <c r="D1813" s="20"/>
      <c r="E1813" s="20"/>
      <c r="F1813" s="20"/>
    </row>
    <row r="1814">
      <c r="C1814" s="20"/>
      <c r="D1814" s="20"/>
      <c r="E1814" s="20"/>
      <c r="F1814" s="20"/>
    </row>
    <row r="1815">
      <c r="C1815" s="20"/>
      <c r="D1815" s="20"/>
      <c r="E1815" s="20"/>
      <c r="F1815" s="20"/>
    </row>
    <row r="1816">
      <c r="C1816" s="20"/>
      <c r="D1816" s="20"/>
      <c r="E1816" s="20"/>
      <c r="F1816" s="20"/>
    </row>
    <row r="1817">
      <c r="C1817" s="20"/>
      <c r="D1817" s="20"/>
      <c r="E1817" s="20"/>
      <c r="F1817" s="20"/>
    </row>
    <row r="1818">
      <c r="C1818" s="20"/>
      <c r="D1818" s="20"/>
      <c r="E1818" s="20"/>
      <c r="F1818" s="20"/>
    </row>
    <row r="1819">
      <c r="C1819" s="20"/>
      <c r="D1819" s="20"/>
      <c r="E1819" s="20"/>
      <c r="F1819" s="20"/>
    </row>
    <row r="1820">
      <c r="C1820" s="20"/>
      <c r="D1820" s="20"/>
      <c r="E1820" s="20"/>
      <c r="F1820" s="20"/>
    </row>
    <row r="1821">
      <c r="C1821" s="20"/>
      <c r="D1821" s="20"/>
      <c r="E1821" s="20"/>
      <c r="F1821" s="20"/>
    </row>
    <row r="1822">
      <c r="C1822" s="20"/>
      <c r="D1822" s="20"/>
      <c r="E1822" s="20"/>
      <c r="F1822" s="20"/>
    </row>
    <row r="1823">
      <c r="C1823" s="20"/>
      <c r="D1823" s="20"/>
      <c r="E1823" s="20"/>
      <c r="F1823" s="20"/>
    </row>
    <row r="1824">
      <c r="F1824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/>
    <row r="2"/>
    <row r="3"/>
    <row r="4"/>
    <row r="5"/>
    <row r="10">
      <c r="G10" s="21" t="s">
        <v>839</v>
      </c>
      <c r="H10" s="21" t="s">
        <v>840</v>
      </c>
    </row>
    <row r="11">
      <c r="G11" s="22">
        <v>5.0</v>
      </c>
      <c r="H11" s="23">
        <f t="shared" ref="H11:H12" si="1">AVERAGE(B3:F3)</f>
        <v>1.820516469</v>
      </c>
    </row>
    <row r="12">
      <c r="G12" s="22">
        <v>10.0</v>
      </c>
      <c r="H12" s="23">
        <f t="shared" si="1"/>
        <v>2.02177751</v>
      </c>
    </row>
    <row r="15">
      <c r="A15" s="24"/>
      <c r="B15" s="25" t="s">
        <v>833</v>
      </c>
      <c r="C15" s="25" t="s">
        <v>834</v>
      </c>
      <c r="D15" s="25" t="s">
        <v>835</v>
      </c>
      <c r="E15" s="25" t="s">
        <v>836</v>
      </c>
      <c r="F15" s="25" t="s">
        <v>837</v>
      </c>
    </row>
    <row r="16">
      <c r="A16" s="26" t="s">
        <v>841</v>
      </c>
      <c r="B16" s="27">
        <f t="shared" ref="B16:F16" si="2">B4-B3/5</f>
        <v>1.765479725</v>
      </c>
      <c r="C16" s="27">
        <f t="shared" si="2"/>
        <v>1.713963831</v>
      </c>
      <c r="D16" s="27">
        <f t="shared" si="2"/>
        <v>1.542533979</v>
      </c>
      <c r="E16" s="27">
        <f t="shared" si="2"/>
        <v>1.681666262</v>
      </c>
      <c r="F16" s="27">
        <f t="shared" si="2"/>
        <v>1.584727283</v>
      </c>
    </row>
  </sheetData>
  <drawing r:id="rId2"/>
</worksheet>
</file>